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ock Pitch\"/>
    </mc:Choice>
  </mc:AlternateContent>
  <xr:revisionPtr revIDLastSave="0" documentId="13_ncr:1_{E8777736-BD12-4426-97D6-42622AA0DD48}" xr6:coauthVersionLast="47" xr6:coauthVersionMax="47" xr10:uidLastSave="{00000000-0000-0000-0000-000000000000}"/>
  <bookViews>
    <workbookView xWindow="-98" yWindow="-98" windowWidth="19396" windowHeight="11475" tabRatio="649" activeTab="3" xr2:uid="{B7272725-8A33-4872-BC6C-0B7C34AE6223}"/>
  </bookViews>
  <sheets>
    <sheet name="Key Financials" sheetId="1" r:id="rId1"/>
    <sheet name="Company Statistics" sheetId="2" r:id="rId2"/>
    <sheet name="Competitors" sheetId="3" r:id="rId3"/>
    <sheet name="Football Valuatio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7" i="6" l="1"/>
  <c r="AE17" i="6"/>
  <c r="AF17" i="6"/>
  <c r="AG17" i="6"/>
  <c r="AD18" i="6"/>
  <c r="AE18" i="6"/>
  <c r="AF18" i="6"/>
  <c r="AG18" i="6"/>
  <c r="AD19" i="6"/>
  <c r="AE19" i="6"/>
  <c r="AF19" i="6"/>
  <c r="AG19" i="6"/>
  <c r="AD20" i="6"/>
  <c r="AE20" i="6"/>
  <c r="AF20" i="6"/>
  <c r="AG20" i="6"/>
  <c r="AC17" i="6"/>
  <c r="AC18" i="6"/>
  <c r="AC19" i="6"/>
  <c r="AC20" i="6"/>
  <c r="AE16" i="6"/>
  <c r="AF16" i="6"/>
  <c r="AG16" i="6"/>
  <c r="AD16" i="6"/>
  <c r="AC16" i="6"/>
  <c r="X18" i="6"/>
  <c r="Y18" i="6"/>
  <c r="Z18" i="6"/>
  <c r="AA18" i="6"/>
  <c r="X19" i="6"/>
  <c r="Y19" i="6"/>
  <c r="Z19" i="6"/>
  <c r="AA19" i="6"/>
  <c r="X20" i="6"/>
  <c r="Y20" i="6"/>
  <c r="Z20" i="6"/>
  <c r="AA20" i="6"/>
  <c r="W20" i="6"/>
  <c r="W19" i="6"/>
  <c r="W18" i="6"/>
  <c r="X17" i="6"/>
  <c r="Y17" i="6"/>
  <c r="Z17" i="6"/>
  <c r="AA17" i="6"/>
  <c r="W17" i="6"/>
  <c r="X16" i="6"/>
  <c r="Y16" i="6"/>
  <c r="Z16" i="6"/>
  <c r="AA16" i="6"/>
  <c r="W16" i="6"/>
  <c r="Q47" i="6"/>
  <c r="P47" i="6"/>
  <c r="O47" i="6"/>
  <c r="N47" i="6"/>
  <c r="Q13" i="6"/>
  <c r="Q14" i="6"/>
  <c r="Q15" i="6"/>
  <c r="Q16" i="6"/>
  <c r="Q17" i="6"/>
  <c r="Q18" i="6"/>
  <c r="N41" i="6"/>
  <c r="O41" i="6"/>
  <c r="P41" i="6"/>
  <c r="Q41" i="6"/>
  <c r="M41" i="6"/>
  <c r="N43" i="6"/>
  <c r="O43" i="6"/>
  <c r="P43" i="6"/>
  <c r="Q43" i="6"/>
  <c r="M43" i="6"/>
  <c r="P13" i="6"/>
  <c r="Q40" i="6" s="1"/>
  <c r="O7" i="6"/>
  <c r="O11" i="6"/>
  <c r="N11" i="6"/>
  <c r="M11" i="6"/>
  <c r="M29" i="6"/>
  <c r="M31" i="6"/>
  <c r="N29" i="6"/>
  <c r="N31" i="6"/>
  <c r="P31" i="6"/>
  <c r="Q31" i="6"/>
  <c r="P29" i="6"/>
  <c r="Q29" i="6"/>
  <c r="O31" i="6"/>
  <c r="O29" i="6"/>
  <c r="M22" i="6"/>
  <c r="N22" i="6"/>
  <c r="P22" i="6"/>
  <c r="Q22" i="6"/>
  <c r="M24" i="6"/>
  <c r="N24" i="6"/>
  <c r="P24" i="6"/>
  <c r="Q24" i="6"/>
  <c r="O24" i="6"/>
  <c r="O22" i="6"/>
  <c r="O8" i="6"/>
  <c r="O9" i="6"/>
  <c r="O10" i="6"/>
  <c r="N7" i="6"/>
  <c r="N8" i="6"/>
  <c r="N9" i="6"/>
  <c r="N10" i="6"/>
  <c r="M8" i="6"/>
  <c r="M9" i="6"/>
  <c r="M10" i="6"/>
  <c r="M7" i="6"/>
  <c r="D25" i="1"/>
  <c r="E25" i="1"/>
  <c r="F25" i="1"/>
  <c r="C25" i="1"/>
  <c r="M47" i="6" l="1"/>
  <c r="Q42" i="6"/>
  <c r="Q44" i="6" s="1"/>
  <c r="P18" i="6"/>
  <c r="M40" i="6" s="1"/>
  <c r="M42" i="6" s="1"/>
  <c r="M44" i="6" s="1"/>
  <c r="P17" i="6"/>
  <c r="N40" i="6" s="1"/>
  <c r="N42" i="6" s="1"/>
  <c r="N44" i="6" s="1"/>
  <c r="P16" i="6"/>
  <c r="P15" i="6"/>
  <c r="P14" i="6"/>
  <c r="P40" i="6" s="1"/>
  <c r="P42" i="6" s="1"/>
  <c r="P44" i="6" s="1"/>
  <c r="O14" i="6"/>
  <c r="P35" i="6" s="1"/>
  <c r="P37" i="6" s="1"/>
  <c r="M18" i="6"/>
  <c r="M21" i="6" s="1"/>
  <c r="M23" i="6" s="1"/>
  <c r="M25" i="6" s="1"/>
  <c r="N17" i="6"/>
  <c r="N28" i="6" s="1"/>
  <c r="N30" i="6" s="1"/>
  <c r="N32" i="6" s="1"/>
  <c r="M14" i="6"/>
  <c r="P21" i="6" s="1"/>
  <c r="P23" i="6" s="1"/>
  <c r="P25" i="6" s="1"/>
  <c r="M15" i="6"/>
  <c r="M17" i="6"/>
  <c r="N21" i="6" s="1"/>
  <c r="N23" i="6" s="1"/>
  <c r="N25" i="6" s="1"/>
  <c r="M13" i="6"/>
  <c r="Q21" i="6" s="1"/>
  <c r="Q23" i="6" s="1"/>
  <c r="Q25" i="6" s="1"/>
  <c r="M16" i="6"/>
  <c r="O21" i="6" s="1"/>
  <c r="O23" i="6" s="1"/>
  <c r="O25" i="6" s="1"/>
  <c r="O17" i="6"/>
  <c r="N35" i="6" s="1"/>
  <c r="N37" i="6" s="1"/>
  <c r="O15" i="6"/>
  <c r="O13" i="6"/>
  <c r="Q35" i="6" s="1"/>
  <c r="Q37" i="6" s="1"/>
  <c r="O18" i="6"/>
  <c r="M35" i="6" s="1"/>
  <c r="M37" i="6" s="1"/>
  <c r="O16" i="6"/>
  <c r="O35" i="6" s="1"/>
  <c r="O37" i="6" s="1"/>
  <c r="N16" i="6"/>
  <c r="O28" i="6" s="1"/>
  <c r="O30" i="6" s="1"/>
  <c r="O32" i="6" s="1"/>
  <c r="N14" i="6"/>
  <c r="P28" i="6" s="1"/>
  <c r="P30" i="6" s="1"/>
  <c r="P32" i="6" s="1"/>
  <c r="N13" i="6"/>
  <c r="Q28" i="6" s="1"/>
  <c r="Q30" i="6" s="1"/>
  <c r="Q32" i="6" s="1"/>
  <c r="N18" i="6"/>
  <c r="M28" i="6" s="1"/>
  <c r="M30" i="6" s="1"/>
  <c r="M32" i="6" s="1"/>
  <c r="N15" i="6"/>
  <c r="O40" i="6" l="1"/>
  <c r="O42" i="6" s="1"/>
  <c r="O44" i="6" s="1"/>
</calcChain>
</file>

<file path=xl/sharedStrings.xml><?xml version="1.0" encoding="utf-8"?>
<sst xmlns="http://schemas.openxmlformats.org/spreadsheetml/2006/main" count="140" uniqueCount="109">
  <si>
    <t>Key Financials</t>
  </si>
  <si>
    <t>EBITDA</t>
  </si>
  <si>
    <t xml:space="preserve">Net Income </t>
  </si>
  <si>
    <t>Dividend per share</t>
  </si>
  <si>
    <t>Total Assets</t>
  </si>
  <si>
    <t>Total liabilities</t>
  </si>
  <si>
    <t xml:space="preserve">Total Equity </t>
  </si>
  <si>
    <t>EPS (Diluted)</t>
  </si>
  <si>
    <t>Gross Profit</t>
  </si>
  <si>
    <t>R&amp;D Expense</t>
  </si>
  <si>
    <t>Operating Expense</t>
  </si>
  <si>
    <t>Operating Income</t>
  </si>
  <si>
    <t>Income Statement (Millions of US$)</t>
  </si>
  <si>
    <t>Balance Sheet (Millions of US$)</t>
  </si>
  <si>
    <t>Revenue</t>
  </si>
  <si>
    <t>TTM</t>
  </si>
  <si>
    <t>Total Debt</t>
  </si>
  <si>
    <t>Operating Cash Flow</t>
  </si>
  <si>
    <t>-</t>
  </si>
  <si>
    <t>Per Share Data (US$)</t>
  </si>
  <si>
    <t>P/E (Current)</t>
  </si>
  <si>
    <t>COMPANY STATISTICS</t>
  </si>
  <si>
    <t>Market Cap (Billion of US$)</t>
  </si>
  <si>
    <t>43.22 - 58.76</t>
  </si>
  <si>
    <t>52-Week Range (US$)</t>
  </si>
  <si>
    <t>Dividend Yield (%)</t>
  </si>
  <si>
    <t>Free Cash Flow Yield (Million of US$)</t>
  </si>
  <si>
    <t>Return on Equity (%)</t>
  </si>
  <si>
    <t>P/E </t>
  </si>
  <si>
    <t>EV/ EBITDA</t>
  </si>
  <si>
    <t>EBITDA Margin (%)</t>
  </si>
  <si>
    <t>ROA </t>
  </si>
  <si>
    <t>YTD Price Performance</t>
  </si>
  <si>
    <t>Corteva (NYSE: CTVA)</t>
  </si>
  <si>
    <t>Bayer (FRA: BAYN)</t>
  </si>
  <si>
    <t>BASF SE (FRA: BAS)</t>
  </si>
  <si>
    <t>FMC Corp. (NYSE: FMC)</t>
  </si>
  <si>
    <t>Nutrien Ltd. (NYSE: NTR)</t>
  </si>
  <si>
    <t>KWS SAAT SE (FRA: KWS)</t>
  </si>
  <si>
    <t>Nufarm Limited (ASX: NUF)</t>
  </si>
  <si>
    <t xml:space="preserve">Shares Issued </t>
  </si>
  <si>
    <t>Dividends Paid</t>
  </si>
  <si>
    <t xml:space="preserve">ROIC </t>
  </si>
  <si>
    <t>Corteva Agriscience</t>
  </si>
  <si>
    <t>EV/EBITDA</t>
  </si>
  <si>
    <t xml:space="preserve">Median </t>
  </si>
  <si>
    <t>Max</t>
  </si>
  <si>
    <t>P/E</t>
  </si>
  <si>
    <t>Implied Value Per Share</t>
  </si>
  <si>
    <t>Shares Outstanding</t>
  </si>
  <si>
    <t>Implied Market Value</t>
  </si>
  <si>
    <t>Net Debt</t>
  </si>
  <si>
    <t>Implied Enterprise Value</t>
  </si>
  <si>
    <t>EV/Revenue</t>
  </si>
  <si>
    <t>Low</t>
  </si>
  <si>
    <t>25th Percentile</t>
  </si>
  <si>
    <t>Median</t>
  </si>
  <si>
    <t>Average</t>
  </si>
  <si>
    <t>75th Percentile</t>
  </si>
  <si>
    <t>High</t>
  </si>
  <si>
    <t>Net Income</t>
  </si>
  <si>
    <t>Enterprise 
Value</t>
  </si>
  <si>
    <t>Equity Value</t>
  </si>
  <si>
    <t>Share 
Price</t>
  </si>
  <si>
    <t>Company</t>
  </si>
  <si>
    <t>Valuation</t>
  </si>
  <si>
    <t>Financials</t>
  </si>
  <si>
    <t>FMC Corporation</t>
  </si>
  <si>
    <t>DuPont de Nemours</t>
  </si>
  <si>
    <t>Mosaic Co</t>
  </si>
  <si>
    <t>Comparable Companies Analysis (US Agrochemical Industry)</t>
  </si>
  <si>
    <t>Corteva Valuation</t>
  </si>
  <si>
    <t>EV/Revenue (Median)</t>
  </si>
  <si>
    <t>EV/EBITDA (Median)</t>
  </si>
  <si>
    <t>P/E (Median)</t>
  </si>
  <si>
    <t>EV/Revenue (Min)</t>
  </si>
  <si>
    <t>EV/Revenue (25th)</t>
  </si>
  <si>
    <t>EV/Revenue (75th)</t>
  </si>
  <si>
    <t>EV/Revenue (Max)</t>
  </si>
  <si>
    <t>EV/EBITDA (Min)</t>
  </si>
  <si>
    <t>EV/EBITDA (25th)</t>
  </si>
  <si>
    <t>EV/EBITDA (75th)</t>
  </si>
  <si>
    <t>EV/EBITDA (Max)</t>
  </si>
  <si>
    <t>Market Data (TTM)</t>
  </si>
  <si>
    <t>P/E (Min)</t>
  </si>
  <si>
    <t>P/E (25th)</t>
  </si>
  <si>
    <t>P/E (75th)</t>
  </si>
  <si>
    <t>P/E (Max)</t>
  </si>
  <si>
    <t xml:space="preserve">Bayer AG </t>
  </si>
  <si>
    <t>P/S</t>
  </si>
  <si>
    <t>P/S (Min)</t>
  </si>
  <si>
    <t>P/S (25th)</t>
  </si>
  <si>
    <t>P/S (Median)</t>
  </si>
  <si>
    <t>P/S (75th)</t>
  </si>
  <si>
    <t>P/S (Max)</t>
  </si>
  <si>
    <t>Diluted EPS</t>
  </si>
  <si>
    <t>Diluted EPS (Min)</t>
  </si>
  <si>
    <t>Diluted EPS (25th)</t>
  </si>
  <si>
    <t>Diluted EPS (Median)</t>
  </si>
  <si>
    <t>Diluted EPS (75th)</t>
  </si>
  <si>
    <t>Diluted EPS (Max)</t>
  </si>
  <si>
    <t xml:space="preserve">Min </t>
  </si>
  <si>
    <t xml:space="preserve">25th </t>
  </si>
  <si>
    <t xml:space="preserve">75th </t>
  </si>
  <si>
    <t>min</t>
  </si>
  <si>
    <t>25th Point</t>
  </si>
  <si>
    <t>Median Point</t>
  </si>
  <si>
    <t>75th point</t>
  </si>
  <si>
    <t>Share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</si>
</sst>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0_-;\-* #,##0.000_-;_-* &quot;-&quot;??_-;_-@_-"/>
    <numFmt numFmtId="165" formatCode="_-* #,##0.00\ _€_-;\-* #,##0.00\ _€_-;_-* &quot;-&quot;??\ _€_-;_-@"/>
    <numFmt numFmtId="166" formatCode="_-* #,##0_-;\-* #,##0_-;_-* &quot;-&quot;??_-;_-@"/>
    <numFmt numFmtId="167" formatCode="_-* #,##0.00_-;\-* #,##0.00_-;_-* &quot;-&quot;??_-;_-@"/>
    <numFmt numFmtId="168" formatCode="#,##0.0\x"/>
    <numFmt numFmtId="169" formatCode="_-* #,##0_-;\-* #,##0_-;_-* &quot;-&quot;??_-;_-@_-"/>
    <numFmt numFmtId="170" formatCode="_-* #,##0.0_-;\-* #,##0.0_-;_-* &quot;-&quot;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6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theme="1"/>
      <name val="Calibri"/>
      <family val="2"/>
    </font>
    <font>
      <b/>
      <sz val="12"/>
      <color rgb="FF0432FF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8"/>
      <color rgb="FF293D68"/>
      <name val="Calibri"/>
      <family val="2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293D68"/>
        <bgColor rgb="FF293D68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93D6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97">
    <xf numFmtId="0" fontId="0" fillId="0" borderId="0" xfId="0"/>
    <xf numFmtId="43" fontId="3" fillId="0" borderId="1" xfId="1" applyFont="1" applyBorder="1" applyAlignment="1"/>
    <xf numFmtId="43" fontId="4" fillId="0" borderId="1" xfId="1" applyFont="1" applyBorder="1" applyAlignment="1"/>
    <xf numFmtId="43" fontId="4" fillId="0" borderId="1" xfId="1" applyFont="1" applyBorder="1"/>
    <xf numFmtId="43" fontId="5" fillId="0" borderId="1" xfId="1" applyFont="1" applyBorder="1" applyAlignment="1"/>
    <xf numFmtId="43" fontId="5" fillId="0" borderId="1" xfId="1" applyFont="1" applyBorder="1"/>
    <xf numFmtId="43" fontId="6" fillId="0" borderId="1" xfId="1" applyFont="1" applyBorder="1" applyAlignment="1"/>
    <xf numFmtId="43" fontId="6" fillId="0" borderId="1" xfId="1" applyFont="1" applyBorder="1"/>
    <xf numFmtId="43" fontId="3" fillId="0" borderId="6" xfId="1" applyFont="1" applyBorder="1"/>
    <xf numFmtId="43" fontId="5" fillId="0" borderId="6" xfId="1" applyFont="1" applyBorder="1"/>
    <xf numFmtId="43" fontId="4" fillId="0" borderId="6" xfId="1" applyFont="1" applyBorder="1"/>
    <xf numFmtId="43" fontId="4" fillId="0" borderId="8" xfId="1" applyFont="1" applyBorder="1"/>
    <xf numFmtId="43" fontId="5" fillId="0" borderId="8" xfId="1" applyFont="1" applyBorder="1"/>
    <xf numFmtId="43" fontId="5" fillId="0" borderId="9" xfId="1" applyFont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 applyAlignment="1">
      <alignment horizontal="right"/>
    </xf>
    <xf numFmtId="43" fontId="0" fillId="3" borderId="5" xfId="1" applyFont="1" applyFill="1" applyBorder="1"/>
    <xf numFmtId="43" fontId="2" fillId="3" borderId="5" xfId="1" applyFont="1" applyFill="1" applyBorder="1"/>
    <xf numFmtId="43" fontId="0" fillId="3" borderId="5" xfId="1" applyFont="1" applyFill="1" applyBorder="1" applyAlignment="1">
      <alignment horizontal="left"/>
    </xf>
    <xf numFmtId="43" fontId="2" fillId="3" borderId="7" xfId="1" applyFont="1" applyFill="1" applyBorder="1"/>
    <xf numFmtId="0" fontId="0" fillId="2" borderId="5" xfId="0" applyFill="1" applyBorder="1"/>
    <xf numFmtId="43" fontId="0" fillId="2" borderId="6" xfId="1" applyFont="1" applyFill="1" applyBorder="1"/>
    <xf numFmtId="10" fontId="0" fillId="2" borderId="6" xfId="1" applyNumberFormat="1" applyFont="1" applyFill="1" applyBorder="1"/>
    <xf numFmtId="0" fontId="0" fillId="2" borderId="7" xfId="0" applyFill="1" applyBorder="1"/>
    <xf numFmtId="10" fontId="0" fillId="2" borderId="9" xfId="1" applyNumberFormat="1" applyFont="1" applyFill="1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43" fontId="8" fillId="2" borderId="1" xfId="1" applyFont="1" applyFill="1" applyBorder="1" applyAlignment="1">
      <alignment horizontal="center" vertical="center" wrapText="1"/>
    </xf>
    <xf numFmtId="43" fontId="7" fillId="2" borderId="1" xfId="1" applyFont="1" applyFill="1" applyBorder="1" applyAlignment="1">
      <alignment horizontal="center" vertical="center" wrapText="1"/>
    </xf>
    <xf numFmtId="43" fontId="7" fillId="2" borderId="8" xfId="1" applyFont="1" applyFill="1" applyBorder="1" applyAlignment="1">
      <alignment horizontal="center" vertical="center" wrapText="1"/>
    </xf>
    <xf numFmtId="10" fontId="8" fillId="2" borderId="1" xfId="0" applyNumberFormat="1" applyFont="1" applyFill="1" applyBorder="1" applyAlignment="1">
      <alignment horizontal="right" vertical="center" wrapText="1"/>
    </xf>
    <xf numFmtId="10" fontId="8" fillId="2" borderId="6" xfId="0" applyNumberFormat="1" applyFont="1" applyFill="1" applyBorder="1" applyAlignment="1">
      <alignment horizontal="right" vertical="center" wrapText="1"/>
    </xf>
    <xf numFmtId="10" fontId="7" fillId="2" borderId="1" xfId="0" applyNumberFormat="1" applyFont="1" applyFill="1" applyBorder="1" applyAlignment="1">
      <alignment horizontal="right" vertical="center" wrapText="1"/>
    </xf>
    <xf numFmtId="10" fontId="7" fillId="2" borderId="6" xfId="0" applyNumberFormat="1" applyFont="1" applyFill="1" applyBorder="1" applyAlignment="1">
      <alignment horizontal="right" vertical="center" wrapText="1"/>
    </xf>
    <xf numFmtId="10" fontId="7" fillId="2" borderId="8" xfId="0" applyNumberFormat="1" applyFont="1" applyFill="1" applyBorder="1" applyAlignment="1">
      <alignment horizontal="right" vertical="center" wrapText="1"/>
    </xf>
    <xf numFmtId="10" fontId="7" fillId="2" borderId="9" xfId="0" applyNumberFormat="1" applyFont="1" applyFill="1" applyBorder="1" applyAlignment="1">
      <alignment horizontal="right" vertical="center" wrapText="1"/>
    </xf>
    <xf numFmtId="43" fontId="0" fillId="0" borderId="0" xfId="1" applyFont="1"/>
    <xf numFmtId="0" fontId="0" fillId="0" borderId="10" xfId="0" applyBorder="1"/>
    <xf numFmtId="164" fontId="0" fillId="0" borderId="10" xfId="1" applyNumberFormat="1" applyFont="1" applyBorder="1"/>
    <xf numFmtId="0" fontId="9" fillId="0" borderId="0" xfId="2"/>
    <xf numFmtId="165" fontId="10" fillId="0" borderId="0" xfId="2" applyNumberFormat="1" applyFont="1"/>
    <xf numFmtId="166" fontId="11" fillId="0" borderId="0" xfId="2" applyNumberFormat="1" applyFont="1"/>
    <xf numFmtId="167" fontId="12" fillId="4" borderId="13" xfId="2" applyNumberFormat="1" applyFont="1" applyFill="1" applyBorder="1"/>
    <xf numFmtId="0" fontId="12" fillId="4" borderId="13" xfId="2" applyFont="1" applyFill="1" applyBorder="1"/>
    <xf numFmtId="166" fontId="13" fillId="4" borderId="13" xfId="2" applyNumberFormat="1" applyFont="1" applyFill="1" applyBorder="1"/>
    <xf numFmtId="165" fontId="12" fillId="4" borderId="13" xfId="2" applyNumberFormat="1" applyFont="1" applyFill="1" applyBorder="1"/>
    <xf numFmtId="166" fontId="10" fillId="0" borderId="0" xfId="2" applyNumberFormat="1" applyFont="1"/>
    <xf numFmtId="0" fontId="14" fillId="5" borderId="0" xfId="2" applyFont="1" applyFill="1" applyAlignment="1">
      <alignment horizontal="center" vertical="center"/>
    </xf>
    <xf numFmtId="0" fontId="10" fillId="5" borderId="0" xfId="2" applyFont="1" applyFill="1"/>
    <xf numFmtId="0" fontId="14" fillId="5" borderId="0" xfId="2" applyFont="1" applyFill="1"/>
    <xf numFmtId="168" fontId="10" fillId="4" borderId="0" xfId="2" applyNumberFormat="1" applyFont="1" applyFill="1"/>
    <xf numFmtId="0" fontId="10" fillId="4" borderId="0" xfId="2" applyFont="1" applyFill="1"/>
    <xf numFmtId="0" fontId="12" fillId="4" borderId="0" xfId="2" applyFont="1" applyFill="1"/>
    <xf numFmtId="168" fontId="12" fillId="4" borderId="0" xfId="2" applyNumberFormat="1" applyFont="1" applyFill="1"/>
    <xf numFmtId="0" fontId="10" fillId="4" borderId="15" xfId="2" applyFont="1" applyFill="1" applyBorder="1"/>
    <xf numFmtId="0" fontId="14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/>
    </xf>
    <xf numFmtId="0" fontId="14" fillId="5" borderId="0" xfId="2" applyFont="1" applyFill="1" applyAlignment="1">
      <alignment horizontal="center" vertical="center" wrapText="1"/>
    </xf>
    <xf numFmtId="0" fontId="14" fillId="5" borderId="0" xfId="2" applyFont="1" applyFill="1" applyAlignment="1">
      <alignment horizontal="center"/>
    </xf>
    <xf numFmtId="0" fontId="10" fillId="0" borderId="17" xfId="2" applyFont="1" applyBorder="1"/>
    <xf numFmtId="0" fontId="16" fillId="0" borderId="17" xfId="2" applyFont="1" applyBorder="1"/>
    <xf numFmtId="43" fontId="11" fillId="4" borderId="14" xfId="1" applyFont="1" applyFill="1" applyBorder="1"/>
    <xf numFmtId="43" fontId="10" fillId="4" borderId="14" xfId="1" applyFont="1" applyFill="1" applyBorder="1"/>
    <xf numFmtId="43" fontId="11" fillId="0" borderId="0" xfId="1" applyFont="1"/>
    <xf numFmtId="43" fontId="10" fillId="0" borderId="0" xfId="1" applyFont="1"/>
    <xf numFmtId="0" fontId="17" fillId="0" borderId="0" xfId="0" applyFont="1" applyAlignment="1">
      <alignment horizontal="left" vertical="center"/>
    </xf>
    <xf numFmtId="169" fontId="11" fillId="4" borderId="14" xfId="1" applyNumberFormat="1" applyFont="1" applyFill="1" applyBorder="1"/>
    <xf numFmtId="169" fontId="11" fillId="0" borderId="0" xfId="1" applyNumberFormat="1" applyFont="1"/>
    <xf numFmtId="43" fontId="10" fillId="6" borderId="0" xfId="1" applyFont="1" applyFill="1" applyBorder="1"/>
    <xf numFmtId="43" fontId="10" fillId="4" borderId="12" xfId="1" applyFont="1" applyFill="1" applyBorder="1"/>
    <xf numFmtId="43" fontId="9" fillId="0" borderId="0" xfId="2" applyNumberFormat="1"/>
    <xf numFmtId="0" fontId="9" fillId="7" borderId="0" xfId="2" applyFill="1"/>
    <xf numFmtId="170" fontId="9" fillId="0" borderId="0" xfId="2" applyNumberFormat="1"/>
    <xf numFmtId="2" fontId="12" fillId="4" borderId="13" xfId="2" applyNumberFormat="1" applyFont="1" applyFill="1" applyBorder="1"/>
    <xf numFmtId="166" fontId="9" fillId="0" borderId="0" xfId="2" applyNumberFormat="1"/>
    <xf numFmtId="0" fontId="10" fillId="0" borderId="0" xfId="2" applyFont="1"/>
    <xf numFmtId="0" fontId="9" fillId="0" borderId="11" xfId="2" applyBorder="1"/>
    <xf numFmtId="43" fontId="11" fillId="4" borderId="0" xfId="1" applyFont="1" applyFill="1" applyBorder="1"/>
    <xf numFmtId="2" fontId="9" fillId="0" borderId="0" xfId="2" applyNumberFormat="1"/>
    <xf numFmtId="167" fontId="9" fillId="0" borderId="0" xfId="2" applyNumberFormat="1"/>
    <xf numFmtId="0" fontId="0" fillId="0" borderId="0" xfId="0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3" fontId="2" fillId="2" borderId="5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6" xfId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4" fillId="5" borderId="16" xfId="2" applyFont="1" applyFill="1" applyBorder="1" applyAlignment="1">
      <alignment horizontal="center"/>
    </xf>
    <xf numFmtId="0" fontId="15" fillId="0" borderId="16" xfId="2" applyFont="1" applyBorder="1"/>
  </cellXfs>
  <cellStyles count="3">
    <cellStyle name="Comma" xfId="1" builtinId="3"/>
    <cellStyle name="Normal" xfId="0" builtinId="0"/>
    <cellStyle name="Normal 2" xfId="2" xr:uid="{C6F4F88F-B565-49C6-B0C8-A68F8621DDD9}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Foot</a:t>
            </a:r>
            <a:r>
              <a:rPr lang="en-SG" baseline="0"/>
              <a:t>ball Field valuation Chart (Corteva)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43353021210726"/>
          <c:y val="0.17505103857135595"/>
          <c:w val="0.84023547634508633"/>
          <c:h val="0.61821198163351698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'Football Valuation'!$U$16:$U$20</c:f>
              <c:strCache>
                <c:ptCount val="5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P/S</c:v>
                </c:pt>
                <c:pt idx="4">
                  <c:v>Diluted EPS</c:v>
                </c:pt>
              </c:strCache>
            </c:strRef>
          </c:cat>
          <c:val>
            <c:numRef>
              <c:f>'Football Valuation'!$AC$16:$AC$20</c:f>
              <c:numCache>
                <c:formatCode>0.00</c:formatCode>
                <c:ptCount val="5"/>
                <c:pt idx="0">
                  <c:v>21.971916446496714</c:v>
                </c:pt>
                <c:pt idx="1">
                  <c:v>18.78809549499185</c:v>
                </c:pt>
                <c:pt idx="2">
                  <c:v>-28.746108059972173</c:v>
                </c:pt>
                <c:pt idx="3">
                  <c:v>12.326685633001421</c:v>
                </c:pt>
                <c:pt idx="4">
                  <c:v>-58.887305122494432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252-9790-2D7C69877433}"/>
            </c:ext>
          </c:extLst>
        </c:ser>
        <c:ser>
          <c:idx val="1"/>
          <c:order val="1"/>
          <c:tx>
            <c:v>25th Percentile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'Football Valuation'!$U$16:$U$20</c:f>
              <c:strCache>
                <c:ptCount val="5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P/S</c:v>
                </c:pt>
                <c:pt idx="4">
                  <c:v>Diluted EPS</c:v>
                </c:pt>
              </c:strCache>
            </c:strRef>
          </c:cat>
          <c:val>
            <c:numRef>
              <c:f>'Football Valuation'!$AD$16:$AD$20</c:f>
              <c:numCache>
                <c:formatCode>0.00</c:formatCode>
                <c:ptCount val="5"/>
                <c:pt idx="0">
                  <c:v>4.1271864754186431</c:v>
                </c:pt>
                <c:pt idx="1">
                  <c:v>6.9089721744104793</c:v>
                </c:pt>
                <c:pt idx="2">
                  <c:v>27.019644470682238</c:v>
                </c:pt>
                <c:pt idx="3">
                  <c:v>1.4424751066856327</c:v>
                </c:pt>
                <c:pt idx="4">
                  <c:v>67.492316258351892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F6-4252-9790-2D7C69877433}"/>
            </c:ext>
          </c:extLst>
        </c:ser>
        <c:ser>
          <c:idx val="2"/>
          <c:order val="2"/>
          <c:tx>
            <c:v>25th Percentile to Median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'Football Valuation'!$U$16:$U$20</c:f>
              <c:strCache>
                <c:ptCount val="5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P/S</c:v>
                </c:pt>
                <c:pt idx="4">
                  <c:v>Diluted EPS</c:v>
                </c:pt>
              </c:strCache>
            </c:strRef>
          </c:cat>
          <c:val>
            <c:numRef>
              <c:f>'Football Valuation'!$AE$16:$AE$20</c:f>
              <c:numCache>
                <c:formatCode>0.00</c:formatCode>
                <c:ptCount val="5"/>
                <c:pt idx="0">
                  <c:v>20.007514895851795</c:v>
                </c:pt>
                <c:pt idx="1">
                  <c:v>22.790892600305767</c:v>
                </c:pt>
                <c:pt idx="2">
                  <c:v>28.404268868285339</c:v>
                </c:pt>
                <c:pt idx="3">
                  <c:v>14.905576102418204</c:v>
                </c:pt>
                <c:pt idx="4">
                  <c:v>24.156236080178175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F6-4252-9790-2D7C69877433}"/>
            </c:ext>
          </c:extLst>
        </c:ser>
        <c:ser>
          <c:idx val="3"/>
          <c:order val="3"/>
          <c:tx>
            <c:v>Median to 75th Percentile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'Football Valuation'!$U$16:$U$20</c:f>
              <c:strCache>
                <c:ptCount val="5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P/S</c:v>
                </c:pt>
                <c:pt idx="4">
                  <c:v>Diluted EPS</c:v>
                </c:pt>
              </c:strCache>
            </c:strRef>
          </c:cat>
          <c:val>
            <c:numRef>
              <c:f>'Football Valuation'!$AF$16:$AF$20</c:f>
              <c:numCache>
                <c:formatCode>0.00</c:formatCode>
                <c:ptCount val="5"/>
                <c:pt idx="0">
                  <c:v>21.046469684922052</c:v>
                </c:pt>
                <c:pt idx="1">
                  <c:v>27.127581133049389</c:v>
                </c:pt>
                <c:pt idx="2">
                  <c:v>23.975976696870571</c:v>
                </c:pt>
                <c:pt idx="3">
                  <c:v>20.014342105263164</c:v>
                </c:pt>
                <c:pt idx="4">
                  <c:v>107.71815144766148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F6-4252-9790-2D7C69877433}"/>
            </c:ext>
          </c:extLst>
        </c:ser>
        <c:ser>
          <c:idx val="4"/>
          <c:order val="4"/>
          <c:tx>
            <c:strRef>
              <c:f>'Football Valuation'!$AD$15:$AF$15</c:f>
              <c:strCache>
                <c:ptCount val="1"/>
                <c:pt idx="0">
                  <c:v>25th Point Median Point 75th point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'Football Valuation'!$U$16:$U$20</c:f>
              <c:strCache>
                <c:ptCount val="5"/>
                <c:pt idx="0">
                  <c:v>EV/Revenue</c:v>
                </c:pt>
                <c:pt idx="1">
                  <c:v>EV/EBITDA</c:v>
                </c:pt>
                <c:pt idx="2">
                  <c:v>P/E</c:v>
                </c:pt>
                <c:pt idx="3">
                  <c:v>P/S</c:v>
                </c:pt>
                <c:pt idx="4">
                  <c:v>Diluted EPS</c:v>
                </c:pt>
              </c:strCache>
            </c:strRef>
          </c:cat>
          <c:val>
            <c:numRef>
              <c:f>'Football Valuation'!$AG$16:$AG$20</c:f>
              <c:numCache>
                <c:formatCode>0.00</c:formatCode>
                <c:ptCount val="5"/>
                <c:pt idx="0">
                  <c:v>7.2440508426294343</c:v>
                </c:pt>
                <c:pt idx="1">
                  <c:v>19.919037772641303</c:v>
                </c:pt>
                <c:pt idx="2">
                  <c:v>13.734767956437913</c:v>
                </c:pt>
                <c:pt idx="3">
                  <c:v>16.76877311522049</c:v>
                </c:pt>
                <c:pt idx="4">
                  <c:v>318.17806236080185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F6-4252-9790-2D7C6987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4535632"/>
        <c:axId val="274528432"/>
      </c:barChart>
      <c:scatterChart>
        <c:scatterStyle val="smoothMarker"/>
        <c:varyColors val="0"/>
        <c:ser>
          <c:idx val="5"/>
          <c:order val="5"/>
          <c:tx>
            <c:strRef>
              <c:f>'Football Valuation'!$U$21</c:f>
              <c:strCache>
                <c:ptCount val="1"/>
                <c:pt idx="0">
                  <c:v>Share value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00B05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F6-4252-9790-2D7C69877433}"/>
              </c:ext>
            </c:extLst>
          </c:dPt>
          <c:xVal>
            <c:numRef>
              <c:f>'Football Valuation'!$AH$16:$AH$21</c:f>
              <c:numCache>
                <c:formatCode>General</c:formatCode>
                <c:ptCount val="6"/>
                <c:pt idx="0">
                  <c:v>58.3</c:v>
                </c:pt>
                <c:pt idx="1">
                  <c:v>58.3</c:v>
                </c:pt>
                <c:pt idx="2">
                  <c:v>58.3</c:v>
                </c:pt>
                <c:pt idx="3">
                  <c:v>58.3</c:v>
                </c:pt>
                <c:pt idx="4">
                  <c:v>58.3</c:v>
                </c:pt>
                <c:pt idx="5">
                  <c:v>58.3</c:v>
                </c:pt>
              </c:numCache>
            </c:numRef>
          </c:xVal>
          <c:yVal>
            <c:numRef>
              <c:f>'Football Valuation'!$AI$16:$AI$21</c:f>
              <c:numCache>
                <c:formatCode>General</c:formatCode>
                <c:ptCount val="6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F6-4252-9790-2D7C69877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7803024"/>
        <c:axId val="237786224"/>
      </c:scatterChart>
      <c:catAx>
        <c:axId val="2745356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Valuation Methods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28432"/>
        <c:crosses val="autoZero"/>
        <c:auto val="1"/>
        <c:lblAlgn val="ctr"/>
        <c:lblOffset val="100"/>
        <c:noMultiLvlLbl val="0"/>
      </c:catAx>
      <c:valAx>
        <c:axId val="274528432"/>
        <c:scaling>
          <c:orientation val="minMax"/>
          <c:max val="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535632"/>
        <c:crosses val="autoZero"/>
        <c:crossBetween val="between"/>
      </c:valAx>
      <c:valAx>
        <c:axId val="237786224"/>
        <c:scaling>
          <c:orientation val="minMax"/>
          <c:max val="10"/>
          <c:min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237803024"/>
        <c:crosses val="max"/>
        <c:crossBetween val="midCat"/>
      </c:valAx>
      <c:valAx>
        <c:axId val="237803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8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2.0374616757706812E-2"/>
          <c:y val="0.89065691681320247"/>
          <c:w val="0.96585380466289927"/>
          <c:h val="0.106981199425527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383646</xdr:colOff>
      <xdr:row>24</xdr:row>
      <xdr:rowOff>174047</xdr:rowOff>
    </xdr:from>
    <xdr:to>
      <xdr:col>30</xdr:col>
      <xdr:colOff>224895</xdr:colOff>
      <xdr:row>45</xdr:row>
      <xdr:rowOff>112446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142248-0C0C-7752-E215-5061AE2A1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8E69-A3DA-4699-AE81-3084D8B69DDB}">
  <dimension ref="B1:G26"/>
  <sheetViews>
    <sheetView zoomScale="84" workbookViewId="0">
      <selection activeCell="L15" sqref="L15"/>
    </sheetView>
  </sheetViews>
  <sheetFormatPr defaultRowHeight="14.25" x14ac:dyDescent="0.45"/>
  <cols>
    <col min="2" max="2" width="22.06640625" bestFit="1" customWidth="1"/>
    <col min="3" max="6" width="11.46484375" bestFit="1" customWidth="1"/>
    <col min="7" max="7" width="10.46484375" bestFit="1" customWidth="1"/>
  </cols>
  <sheetData>
    <row r="1" spans="2:7" ht="14.65" thickBot="1" x14ac:dyDescent="0.5"/>
    <row r="2" spans="2:7" x14ac:dyDescent="0.45">
      <c r="B2" s="14" t="s">
        <v>0</v>
      </c>
      <c r="C2" s="15">
        <v>2020</v>
      </c>
      <c r="D2" s="15">
        <v>2021</v>
      </c>
      <c r="E2" s="15">
        <v>2022</v>
      </c>
      <c r="F2" s="15">
        <v>2023</v>
      </c>
      <c r="G2" s="16" t="s">
        <v>15</v>
      </c>
    </row>
    <row r="3" spans="2:7" x14ac:dyDescent="0.45">
      <c r="B3" s="87" t="s">
        <v>12</v>
      </c>
      <c r="C3" s="88"/>
      <c r="D3" s="88"/>
      <c r="E3" s="88"/>
      <c r="F3" s="88"/>
      <c r="G3" s="89"/>
    </row>
    <row r="4" spans="2:7" x14ac:dyDescent="0.45">
      <c r="B4" s="17" t="s">
        <v>14</v>
      </c>
      <c r="C4" s="1">
        <v>14217</v>
      </c>
      <c r="D4" s="1">
        <v>15655</v>
      </c>
      <c r="E4" s="1">
        <v>17455</v>
      </c>
      <c r="F4" s="1">
        <v>17226</v>
      </c>
      <c r="G4" s="8">
        <v>16901</v>
      </c>
    </row>
    <row r="5" spans="2:7" x14ac:dyDescent="0.45">
      <c r="B5" s="18" t="s">
        <v>8</v>
      </c>
      <c r="C5" s="2">
        <v>5710</v>
      </c>
      <c r="D5" s="4">
        <v>6435</v>
      </c>
      <c r="E5" s="4">
        <v>7019</v>
      </c>
      <c r="F5" s="4">
        <v>7306</v>
      </c>
      <c r="G5" s="9">
        <v>7421</v>
      </c>
    </row>
    <row r="6" spans="2:7" x14ac:dyDescent="0.45">
      <c r="B6" s="18" t="s">
        <v>9</v>
      </c>
      <c r="C6" s="2">
        <v>1142</v>
      </c>
      <c r="D6" s="4">
        <v>1187</v>
      </c>
      <c r="E6" s="4">
        <v>1216</v>
      </c>
      <c r="F6" s="4">
        <v>1337</v>
      </c>
      <c r="G6" s="9">
        <v>1381</v>
      </c>
    </row>
    <row r="7" spans="2:7" x14ac:dyDescent="0.45">
      <c r="B7" s="17" t="s">
        <v>10</v>
      </c>
      <c r="C7" s="1">
        <v>4860</v>
      </c>
      <c r="D7" s="1">
        <v>5118</v>
      </c>
      <c r="E7" s="1">
        <v>5091</v>
      </c>
      <c r="F7" s="1">
        <v>5196</v>
      </c>
      <c r="G7" s="8">
        <v>5287</v>
      </c>
    </row>
    <row r="8" spans="2:7" x14ac:dyDescent="0.45">
      <c r="B8" s="18" t="s">
        <v>11</v>
      </c>
      <c r="C8" s="2">
        <v>843</v>
      </c>
      <c r="D8" s="4">
        <v>1317</v>
      </c>
      <c r="E8" s="4">
        <v>1928</v>
      </c>
      <c r="F8" s="4">
        <v>2110</v>
      </c>
      <c r="G8" s="9">
        <v>2134</v>
      </c>
    </row>
    <row r="9" spans="2:7" x14ac:dyDescent="0.45">
      <c r="B9" s="17" t="s">
        <v>1</v>
      </c>
      <c r="C9" s="1">
        <v>1897</v>
      </c>
      <c r="D9" s="1">
        <v>3619</v>
      </c>
      <c r="E9" s="1">
        <v>2728</v>
      </c>
      <c r="F9" s="1">
        <v>2537</v>
      </c>
      <c r="G9" s="8">
        <v>2517</v>
      </c>
    </row>
    <row r="10" spans="2:7" x14ac:dyDescent="0.45">
      <c r="B10" s="17" t="s">
        <v>2</v>
      </c>
      <c r="C10" s="1">
        <v>681</v>
      </c>
      <c r="D10" s="1">
        <v>1759</v>
      </c>
      <c r="E10" s="1">
        <v>1147</v>
      </c>
      <c r="F10" s="1">
        <v>735</v>
      </c>
      <c r="G10" s="8">
        <v>898</v>
      </c>
    </row>
    <row r="11" spans="2:7" x14ac:dyDescent="0.45">
      <c r="B11" s="90" t="s">
        <v>13</v>
      </c>
      <c r="C11" s="91"/>
      <c r="D11" s="91"/>
      <c r="E11" s="91"/>
      <c r="F11" s="91"/>
      <c r="G11" s="92"/>
    </row>
    <row r="12" spans="2:7" x14ac:dyDescent="0.45">
      <c r="B12" s="19" t="s">
        <v>4</v>
      </c>
      <c r="C12" s="1">
        <v>42649</v>
      </c>
      <c r="D12" s="1">
        <v>42344</v>
      </c>
      <c r="E12" s="1">
        <v>42618</v>
      </c>
      <c r="F12" s="1">
        <v>42996</v>
      </c>
      <c r="G12" s="8" t="s">
        <v>18</v>
      </c>
    </row>
    <row r="13" spans="2:7" x14ac:dyDescent="0.45">
      <c r="B13" s="19" t="s">
        <v>5</v>
      </c>
      <c r="C13" s="1">
        <v>17586</v>
      </c>
      <c r="D13" s="1">
        <v>16721</v>
      </c>
      <c r="E13" s="1">
        <v>17077</v>
      </c>
      <c r="F13" s="1">
        <v>17717</v>
      </c>
      <c r="G13" s="8" t="s">
        <v>18</v>
      </c>
    </row>
    <row r="14" spans="2:7" x14ac:dyDescent="0.45">
      <c r="B14" s="18" t="s">
        <v>6</v>
      </c>
      <c r="C14" s="2">
        <v>25063</v>
      </c>
      <c r="D14" s="4">
        <v>25623</v>
      </c>
      <c r="E14" s="6">
        <v>25541</v>
      </c>
      <c r="F14" s="6">
        <v>25279</v>
      </c>
      <c r="G14" s="10" t="s">
        <v>18</v>
      </c>
    </row>
    <row r="15" spans="2:7" x14ac:dyDescent="0.45">
      <c r="B15" s="18" t="s">
        <v>16</v>
      </c>
      <c r="C15" s="2">
        <v>1105</v>
      </c>
      <c r="D15" s="6">
        <v>1117</v>
      </c>
      <c r="E15" s="6">
        <v>1307</v>
      </c>
      <c r="F15" s="6">
        <v>2489</v>
      </c>
      <c r="G15" s="10" t="s">
        <v>18</v>
      </c>
    </row>
    <row r="16" spans="2:7" x14ac:dyDescent="0.45">
      <c r="B16" s="17" t="s">
        <v>17</v>
      </c>
      <c r="C16" s="1">
        <v>2064</v>
      </c>
      <c r="D16" s="1">
        <v>2727</v>
      </c>
      <c r="E16" s="1">
        <v>872</v>
      </c>
      <c r="F16" s="1">
        <v>1769</v>
      </c>
      <c r="G16" s="8">
        <v>1395</v>
      </c>
    </row>
    <row r="17" spans="2:7" x14ac:dyDescent="0.45">
      <c r="B17" s="90" t="s">
        <v>19</v>
      </c>
      <c r="C17" s="91"/>
      <c r="D17" s="91"/>
      <c r="E17" s="91"/>
      <c r="F17" s="91"/>
      <c r="G17" s="92"/>
    </row>
    <row r="18" spans="2:7" x14ac:dyDescent="0.45">
      <c r="B18" s="18" t="s">
        <v>7</v>
      </c>
      <c r="C18" s="3">
        <v>0.91</v>
      </c>
      <c r="D18" s="5">
        <v>2.37</v>
      </c>
      <c r="E18" s="7">
        <v>1.58</v>
      </c>
      <c r="F18" s="7">
        <v>1.03</v>
      </c>
      <c r="G18" s="9">
        <v>1.3</v>
      </c>
    </row>
    <row r="19" spans="2:7" ht="14.65" thickBot="1" x14ac:dyDescent="0.5">
      <c r="B19" s="20" t="s">
        <v>3</v>
      </c>
      <c r="C19" s="11">
        <v>0.52</v>
      </c>
      <c r="D19" s="12">
        <v>0.54</v>
      </c>
      <c r="E19" s="12">
        <v>0.57999999999999996</v>
      </c>
      <c r="F19" s="12">
        <v>0.62</v>
      </c>
      <c r="G19" s="13">
        <v>0.68</v>
      </c>
    </row>
    <row r="20" spans="2:7" x14ac:dyDescent="0.45">
      <c r="B20" s="86"/>
      <c r="C20" s="86"/>
      <c r="D20" s="86"/>
      <c r="E20" s="86"/>
      <c r="F20" s="86"/>
    </row>
    <row r="22" spans="2:7" x14ac:dyDescent="0.45">
      <c r="B22" t="s">
        <v>40</v>
      </c>
      <c r="C22" s="41">
        <v>743458</v>
      </c>
      <c r="D22" s="41">
        <v>726527</v>
      </c>
      <c r="E22" s="41">
        <v>713419</v>
      </c>
      <c r="F22" s="41">
        <v>701260</v>
      </c>
    </row>
    <row r="23" spans="2:7" x14ac:dyDescent="0.45">
      <c r="B23" t="s">
        <v>41</v>
      </c>
      <c r="C23" s="41">
        <v>388</v>
      </c>
      <c r="D23" s="41">
        <v>397</v>
      </c>
      <c r="E23" s="41">
        <v>418</v>
      </c>
      <c r="F23" s="41">
        <v>439</v>
      </c>
    </row>
    <row r="24" spans="2:7" x14ac:dyDescent="0.45">
      <c r="C24" s="41"/>
      <c r="D24" s="41"/>
      <c r="E24" s="41"/>
      <c r="F24" s="41"/>
    </row>
    <row r="25" spans="2:7" ht="14.65" thickBot="1" x14ac:dyDescent="0.5">
      <c r="B25" s="42" t="s">
        <v>42</v>
      </c>
      <c r="C25" s="43">
        <f>(C10-C23)/(C15+C14)</f>
        <v>1.1196881687557322E-2</v>
      </c>
      <c r="D25" s="43">
        <f t="shared" ref="D25:F25" si="0">(D10-D23)/(D15+D14)</f>
        <v>5.0934928945400151E-2</v>
      </c>
      <c r="E25" s="43">
        <f t="shared" si="0"/>
        <v>2.7152860548271752E-2</v>
      </c>
      <c r="F25" s="43">
        <f t="shared" si="0"/>
        <v>1.0659752232785941E-2</v>
      </c>
    </row>
    <row r="26" spans="2:7" ht="14.65" thickTop="1" x14ac:dyDescent="0.45"/>
  </sheetData>
  <mergeCells count="4">
    <mergeCell ref="B20:F20"/>
    <mergeCell ref="B3:G3"/>
    <mergeCell ref="B11:G11"/>
    <mergeCell ref="B17:G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92E5-88E3-452F-BCE0-ED6DF1B612D8}">
  <dimension ref="B3:C10"/>
  <sheetViews>
    <sheetView workbookViewId="0">
      <selection activeCell="G7" sqref="G7"/>
    </sheetView>
  </sheetViews>
  <sheetFormatPr defaultRowHeight="14.25" x14ac:dyDescent="0.45"/>
  <cols>
    <col min="2" max="2" width="29.1328125" bestFit="1" customWidth="1"/>
    <col min="3" max="3" width="12.265625" bestFit="1" customWidth="1"/>
  </cols>
  <sheetData>
    <row r="3" spans="2:3" ht="14.65" thickBot="1" x14ac:dyDescent="0.5"/>
    <row r="4" spans="2:3" x14ac:dyDescent="0.45">
      <c r="B4" s="93" t="s">
        <v>21</v>
      </c>
      <c r="C4" s="94"/>
    </row>
    <row r="5" spans="2:3" x14ac:dyDescent="0.45">
      <c r="B5" s="21" t="s">
        <v>22</v>
      </c>
      <c r="C5" s="22">
        <v>36.520000000000003</v>
      </c>
    </row>
    <row r="6" spans="2:3" x14ac:dyDescent="0.45">
      <c r="B6" s="21" t="s">
        <v>24</v>
      </c>
      <c r="C6" s="22" t="s">
        <v>23</v>
      </c>
    </row>
    <row r="7" spans="2:3" x14ac:dyDescent="0.45">
      <c r="B7" s="21" t="s">
        <v>25</v>
      </c>
      <c r="C7" s="23">
        <v>1.28</v>
      </c>
    </row>
    <row r="8" spans="2:3" x14ac:dyDescent="0.45">
      <c r="B8" s="21" t="s">
        <v>26</v>
      </c>
      <c r="C8" s="22">
        <v>788</v>
      </c>
    </row>
    <row r="9" spans="2:3" x14ac:dyDescent="0.45">
      <c r="B9" s="21" t="s">
        <v>20</v>
      </c>
      <c r="C9" s="22">
        <v>41.2</v>
      </c>
    </row>
    <row r="10" spans="2:3" ht="14.65" thickBot="1" x14ac:dyDescent="0.5">
      <c r="B10" s="24" t="s">
        <v>27</v>
      </c>
      <c r="C10" s="25">
        <v>2.1899999999999999E-2</v>
      </c>
    </row>
  </sheetData>
  <mergeCells count="1">
    <mergeCell ref="B4:C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5546-F7B6-4FC5-B324-BD0C3102FAEE}">
  <dimension ref="C3:H11"/>
  <sheetViews>
    <sheetView topLeftCell="B2" zoomScale="83" zoomScaleNormal="90" workbookViewId="0">
      <selection activeCell="C14" sqref="C14"/>
    </sheetView>
  </sheetViews>
  <sheetFormatPr defaultRowHeight="14.25" x14ac:dyDescent="0.45"/>
  <cols>
    <col min="3" max="3" width="23.59765625" customWidth="1"/>
    <col min="4" max="4" width="8.86328125" bestFit="1" customWidth="1"/>
    <col min="5" max="5" width="11.06640625" bestFit="1" customWidth="1"/>
    <col min="6" max="6" width="16.796875" bestFit="1" customWidth="1"/>
    <col min="7" max="7" width="6.86328125" customWidth="1"/>
    <col min="8" max="8" width="12" bestFit="1" customWidth="1"/>
  </cols>
  <sheetData>
    <row r="3" spans="3:8" ht="14.65" thickBot="1" x14ac:dyDescent="0.5"/>
    <row r="4" spans="3:8" ht="26.25" x14ac:dyDescent="0.45">
      <c r="C4" s="28"/>
      <c r="D4" s="26" t="s">
        <v>28</v>
      </c>
      <c r="E4" s="26" t="s">
        <v>29</v>
      </c>
      <c r="F4" s="26" t="s">
        <v>30</v>
      </c>
      <c r="G4" s="26" t="s">
        <v>31</v>
      </c>
      <c r="H4" s="27" t="s">
        <v>32</v>
      </c>
    </row>
    <row r="5" spans="3:8" x14ac:dyDescent="0.45">
      <c r="C5" s="29" t="s">
        <v>33</v>
      </c>
      <c r="D5" s="32">
        <v>41.26</v>
      </c>
      <c r="E5" s="32">
        <v>15.4</v>
      </c>
      <c r="F5" s="32">
        <v>14.89</v>
      </c>
      <c r="G5" s="35">
        <v>2.1000000000000001E-2</v>
      </c>
      <c r="H5" s="36">
        <v>0.1066</v>
      </c>
    </row>
    <row r="6" spans="3:8" x14ac:dyDescent="0.45">
      <c r="C6" s="30" t="s">
        <v>34</v>
      </c>
      <c r="D6" s="33">
        <v>28.61</v>
      </c>
      <c r="E6" s="33">
        <v>5.92</v>
      </c>
      <c r="F6" s="33">
        <v>20.68</v>
      </c>
      <c r="G6" s="37">
        <v>-1.0500000000000001E-2</v>
      </c>
      <c r="H6" s="38">
        <v>-0.21779999999999999</v>
      </c>
    </row>
    <row r="7" spans="3:8" x14ac:dyDescent="0.45">
      <c r="C7" s="30" t="s">
        <v>35</v>
      </c>
      <c r="D7" s="33">
        <v>1457.83</v>
      </c>
      <c r="E7" s="33">
        <v>8.43</v>
      </c>
      <c r="F7" s="33">
        <v>10.58</v>
      </c>
      <c r="G7" s="37">
        <v>-5.0000000000000001E-4</v>
      </c>
      <c r="H7" s="38">
        <v>-7.3400000000000007E-2</v>
      </c>
    </row>
    <row r="8" spans="3:8" x14ac:dyDescent="0.45">
      <c r="C8" s="30" t="s">
        <v>36</v>
      </c>
      <c r="D8" s="33">
        <v>5.25</v>
      </c>
      <c r="E8" s="33">
        <v>27.13</v>
      </c>
      <c r="F8" s="33">
        <v>10.27</v>
      </c>
      <c r="G8" s="37">
        <v>0.115</v>
      </c>
      <c r="H8" s="38">
        <v>1.9E-3</v>
      </c>
    </row>
    <row r="9" spans="3:8" x14ac:dyDescent="0.45">
      <c r="C9" s="30" t="s">
        <v>37</v>
      </c>
      <c r="D9" s="33">
        <v>28.68</v>
      </c>
      <c r="E9" s="33">
        <v>8.3800000000000008</v>
      </c>
      <c r="F9" s="33">
        <v>15.59</v>
      </c>
      <c r="G9" s="37">
        <v>1.4800000000000001E-2</v>
      </c>
      <c r="H9" s="38">
        <v>-0.1555</v>
      </c>
    </row>
    <row r="10" spans="3:8" ht="25.5" x14ac:dyDescent="0.45">
      <c r="C10" s="30" t="s">
        <v>38</v>
      </c>
      <c r="D10" s="33">
        <v>11.54</v>
      </c>
      <c r="E10" s="33">
        <v>8.33</v>
      </c>
      <c r="F10" s="33">
        <v>16.690000000000001</v>
      </c>
      <c r="G10" s="37">
        <v>4.4699999999999997E-2</v>
      </c>
      <c r="H10" s="38">
        <v>0.21909999999999999</v>
      </c>
    </row>
    <row r="11" spans="3:8" ht="14.65" thickBot="1" x14ac:dyDescent="0.5">
      <c r="C11" s="31" t="s">
        <v>39</v>
      </c>
      <c r="D11" s="34">
        <v>104.25</v>
      </c>
      <c r="E11" s="34">
        <v>9.8699999999999992</v>
      </c>
      <c r="F11" s="34">
        <v>8.3699999999999992</v>
      </c>
      <c r="G11" s="39">
        <v>2.3900000000000001E-2</v>
      </c>
      <c r="H11" s="40">
        <v>-0.2596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F1D9-AB15-46EB-A0B8-A5512C2BEE54}">
  <dimension ref="B1:AI47"/>
  <sheetViews>
    <sheetView showGridLines="0" tabSelected="1" topLeftCell="Q24" zoomScale="95" zoomScaleNormal="85" workbookViewId="0">
      <selection activeCell="AF43" sqref="AF43"/>
    </sheetView>
  </sheetViews>
  <sheetFormatPr defaultColWidth="12" defaultRowHeight="15" customHeight="1" x14ac:dyDescent="0.5"/>
  <cols>
    <col min="1" max="1" width="11.33203125" style="44" customWidth="1"/>
    <col min="2" max="2" width="26.53125" style="44" customWidth="1"/>
    <col min="3" max="3" width="11.06640625" style="44" customWidth="1"/>
    <col min="4" max="4" width="18.1328125" style="44" bestFit="1" customWidth="1"/>
    <col min="5" max="5" width="11.86328125" style="44" bestFit="1" customWidth="1"/>
    <col min="6" max="7" width="11" style="44" bestFit="1" customWidth="1"/>
    <col min="8" max="8" width="4" style="44" customWidth="1"/>
    <col min="9" max="9" width="11.33203125" style="44" bestFit="1" customWidth="1"/>
    <col min="10" max="11" width="21" style="44" bestFit="1" customWidth="1"/>
    <col min="12" max="12" width="4" style="44" customWidth="1"/>
    <col min="13" max="13" width="17.73046875" style="44" bestFit="1" customWidth="1"/>
    <col min="14" max="14" width="18.33203125" style="44" bestFit="1" customWidth="1"/>
    <col min="15" max="15" width="21.33203125" style="44" bestFit="1" customWidth="1"/>
    <col min="16" max="16" width="18.33203125" style="44" bestFit="1" customWidth="1"/>
    <col min="17" max="17" width="18.06640625" style="44" bestFit="1" customWidth="1"/>
    <col min="18" max="25" width="11.33203125" style="44" customWidth="1"/>
    <col min="26" max="16384" width="12" style="44"/>
  </cols>
  <sheetData>
    <row r="1" spans="2:35" ht="15.75" x14ac:dyDescent="0.5"/>
    <row r="2" spans="2:35" ht="23.25" x14ac:dyDescent="0.7">
      <c r="B2" s="66" t="s">
        <v>70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81"/>
    </row>
    <row r="3" spans="2:35" ht="15.75" x14ac:dyDescent="0.5">
      <c r="O3" s="82"/>
      <c r="P3" s="82"/>
      <c r="Q3" s="82"/>
    </row>
    <row r="4" spans="2:35" ht="15.75" x14ac:dyDescent="0.5">
      <c r="B4" s="54"/>
      <c r="C4" s="95" t="s">
        <v>83</v>
      </c>
      <c r="D4" s="96"/>
      <c r="E4" s="96"/>
      <c r="F4" s="96"/>
      <c r="G4" s="96"/>
      <c r="H4" s="54"/>
      <c r="I4" s="95" t="s">
        <v>66</v>
      </c>
      <c r="J4" s="95"/>
      <c r="K4" s="95"/>
      <c r="L4" s="64"/>
      <c r="M4" s="95" t="s">
        <v>65</v>
      </c>
      <c r="N4" s="95"/>
      <c r="O4" s="95"/>
      <c r="P4" s="95"/>
      <c r="Q4" s="95"/>
    </row>
    <row r="5" spans="2:35" ht="31.5" x14ac:dyDescent="0.5">
      <c r="B5" s="64" t="s">
        <v>64</v>
      </c>
      <c r="C5" s="63" t="s">
        <v>63</v>
      </c>
      <c r="D5" s="63" t="s">
        <v>49</v>
      </c>
      <c r="E5" s="63" t="s">
        <v>62</v>
      </c>
      <c r="F5" s="63" t="s">
        <v>51</v>
      </c>
      <c r="G5" s="63" t="s">
        <v>61</v>
      </c>
      <c r="H5" s="52"/>
      <c r="I5" s="52" t="s">
        <v>14</v>
      </c>
      <c r="J5" s="52" t="s">
        <v>1</v>
      </c>
      <c r="K5" s="52" t="s">
        <v>60</v>
      </c>
      <c r="L5" s="52"/>
      <c r="M5" s="52" t="s">
        <v>53</v>
      </c>
      <c r="N5" s="52" t="s">
        <v>44</v>
      </c>
      <c r="O5" s="52" t="s">
        <v>47</v>
      </c>
      <c r="P5" s="52" t="s">
        <v>89</v>
      </c>
      <c r="Q5" s="52" t="s">
        <v>95</v>
      </c>
    </row>
    <row r="6" spans="2:35" ht="15.75" x14ac:dyDescent="0.5">
      <c r="B6" s="62"/>
      <c r="C6" s="61"/>
      <c r="D6" s="61"/>
      <c r="E6" s="61"/>
      <c r="F6" s="61"/>
      <c r="G6" s="61"/>
      <c r="H6" s="60"/>
      <c r="I6" s="60"/>
      <c r="J6" s="60"/>
      <c r="K6" s="60"/>
      <c r="L6" s="60"/>
      <c r="M6" s="60"/>
      <c r="N6" s="60"/>
      <c r="O6" s="60"/>
    </row>
    <row r="7" spans="2:35" ht="15.75" x14ac:dyDescent="0.5">
      <c r="B7" s="59" t="s">
        <v>43</v>
      </c>
      <c r="C7" s="67">
        <v>53.8</v>
      </c>
      <c r="D7" s="72">
        <v>703</v>
      </c>
      <c r="E7" s="68">
        <v>37240</v>
      </c>
      <c r="F7" s="67">
        <v>2489</v>
      </c>
      <c r="G7" s="68">
        <v>40150</v>
      </c>
      <c r="H7" s="67"/>
      <c r="I7" s="67">
        <v>16901</v>
      </c>
      <c r="J7" s="67">
        <v>2517</v>
      </c>
      <c r="K7" s="67">
        <v>898</v>
      </c>
      <c r="L7" s="83"/>
      <c r="M7" s="75">
        <f t="shared" ref="M7:N11" si="0">$G7/I7</f>
        <v>2.3755990769776938</v>
      </c>
      <c r="N7" s="75">
        <f t="shared" si="0"/>
        <v>15.951529598728646</v>
      </c>
      <c r="O7" s="75">
        <f>E7/K7</f>
        <v>41.469933184855236</v>
      </c>
      <c r="P7" s="75">
        <v>2.2400000000000002</v>
      </c>
      <c r="Q7" s="75">
        <v>1.3</v>
      </c>
      <c r="R7" s="76"/>
      <c r="S7" s="76"/>
      <c r="T7" s="76"/>
      <c r="U7" s="76"/>
      <c r="V7" s="76"/>
      <c r="W7" s="76"/>
      <c r="X7" s="76"/>
      <c r="Y7" s="76"/>
      <c r="Z7" s="76"/>
      <c r="AA7" s="76"/>
    </row>
    <row r="8" spans="2:35" ht="15.75" x14ac:dyDescent="0.5">
      <c r="B8" s="44" t="s">
        <v>68</v>
      </c>
      <c r="C8" s="69">
        <v>80.180000000000007</v>
      </c>
      <c r="D8" s="73">
        <v>544</v>
      </c>
      <c r="E8" s="70">
        <v>33470</v>
      </c>
      <c r="F8" s="69">
        <v>5339</v>
      </c>
      <c r="G8" s="70">
        <v>39090</v>
      </c>
      <c r="H8" s="69"/>
      <c r="I8" s="69">
        <v>12058</v>
      </c>
      <c r="J8" s="69">
        <v>1930</v>
      </c>
      <c r="K8" s="69">
        <v>664</v>
      </c>
      <c r="L8" s="69"/>
      <c r="M8" s="74">
        <f t="shared" si="0"/>
        <v>3.2418311494443524</v>
      </c>
      <c r="N8" s="74">
        <f t="shared" si="0"/>
        <v>20.253886010362695</v>
      </c>
      <c r="O8" s="74">
        <f>E8/K8</f>
        <v>50.406626506024097</v>
      </c>
      <c r="P8" s="74">
        <v>2.87</v>
      </c>
      <c r="Q8" s="74">
        <v>0.83</v>
      </c>
      <c r="R8" s="76"/>
      <c r="S8" s="76"/>
      <c r="T8" s="76"/>
      <c r="U8" s="76"/>
      <c r="V8" s="76"/>
      <c r="W8" s="76"/>
      <c r="X8" s="76"/>
      <c r="Y8" s="76"/>
      <c r="Z8" s="76"/>
      <c r="AA8" s="76"/>
    </row>
    <row r="9" spans="2:35" ht="15.75" x14ac:dyDescent="0.5">
      <c r="B9" s="44" t="s">
        <v>69</v>
      </c>
      <c r="C9" s="69">
        <v>27.72</v>
      </c>
      <c r="D9" s="73">
        <v>324</v>
      </c>
      <c r="E9" s="70">
        <v>8830</v>
      </c>
      <c r="F9" s="69">
        <v>3412.6</v>
      </c>
      <c r="G9" s="70">
        <v>12940</v>
      </c>
      <c r="H9" s="69"/>
      <c r="I9" s="69">
        <v>12193.8</v>
      </c>
      <c r="J9" s="69">
        <v>1468.9</v>
      </c>
      <c r="K9" s="69">
        <v>244.8</v>
      </c>
      <c r="L9" s="69"/>
      <c r="M9" s="74">
        <f t="shared" si="0"/>
        <v>1.061195033541636</v>
      </c>
      <c r="N9" s="74">
        <f t="shared" si="0"/>
        <v>8.8093130914289599</v>
      </c>
      <c r="O9" s="74">
        <f>E9/K9</f>
        <v>36.070261437908492</v>
      </c>
      <c r="P9" s="74">
        <v>0.74</v>
      </c>
      <c r="Q9" s="74">
        <v>0.75</v>
      </c>
      <c r="R9" s="76"/>
      <c r="S9" s="76"/>
      <c r="T9" s="76"/>
      <c r="U9" s="76"/>
      <c r="V9" s="76"/>
      <c r="W9" s="76"/>
      <c r="X9" s="76"/>
      <c r="Y9" s="76"/>
      <c r="Z9" s="76"/>
      <c r="AA9" s="76"/>
    </row>
    <row r="10" spans="2:35" ht="15.75" x14ac:dyDescent="0.5">
      <c r="B10" s="44" t="s">
        <v>67</v>
      </c>
      <c r="C10" s="69">
        <v>63.2</v>
      </c>
      <c r="D10" s="73">
        <v>125</v>
      </c>
      <c r="E10" s="70">
        <v>7890</v>
      </c>
      <c r="F10" s="69">
        <v>3665.2</v>
      </c>
      <c r="G10" s="70">
        <v>11600</v>
      </c>
      <c r="H10" s="69"/>
      <c r="I10" s="69">
        <v>4084.4</v>
      </c>
      <c r="J10" s="69">
        <v>419.2</v>
      </c>
      <c r="K10" s="69">
        <v>1384.4</v>
      </c>
      <c r="L10" s="69"/>
      <c r="M10" s="74">
        <f t="shared" si="0"/>
        <v>2.8400744295367741</v>
      </c>
      <c r="N10" s="74">
        <f t="shared" si="0"/>
        <v>27.671755725190842</v>
      </c>
      <c r="O10" s="74">
        <f>E10/K10</f>
        <v>5.6992198786477895</v>
      </c>
      <c r="P10" s="74">
        <v>1.94</v>
      </c>
      <c r="Q10" s="74">
        <v>11.06</v>
      </c>
      <c r="R10" s="76"/>
      <c r="S10" s="76"/>
      <c r="T10" s="76"/>
      <c r="U10" s="76"/>
      <c r="V10" s="76"/>
      <c r="W10" s="76"/>
      <c r="X10" s="76"/>
      <c r="Y10" s="76"/>
      <c r="Z10" s="76"/>
      <c r="AA10" s="76"/>
    </row>
    <row r="11" spans="2:35" ht="15.75" x14ac:dyDescent="0.5">
      <c r="B11" s="71" t="s">
        <v>88</v>
      </c>
      <c r="C11" s="69">
        <v>32.17</v>
      </c>
      <c r="D11" s="73">
        <v>982.42</v>
      </c>
      <c r="E11" s="70">
        <v>31428.74</v>
      </c>
      <c r="F11" s="69">
        <v>39414.449999999997</v>
      </c>
      <c r="G11" s="70">
        <v>67049.460000000006</v>
      </c>
      <c r="H11" s="69"/>
      <c r="I11" s="69">
        <v>51972.71</v>
      </c>
      <c r="J11" s="69">
        <v>10751.3</v>
      </c>
      <c r="K11" s="69">
        <v>-1396.59</v>
      </c>
      <c r="L11" s="69"/>
      <c r="M11" s="74">
        <f t="shared" si="0"/>
        <v>1.2900897413277084</v>
      </c>
      <c r="N11" s="74">
        <f t="shared" si="0"/>
        <v>6.236404899872575</v>
      </c>
      <c r="O11" s="74">
        <f>E11/K11</f>
        <v>-22.503913102628548</v>
      </c>
      <c r="P11" s="74">
        <v>0.66</v>
      </c>
      <c r="Q11" s="74">
        <v>-1.42</v>
      </c>
      <c r="R11" s="76"/>
      <c r="S11" s="76"/>
      <c r="T11" s="76"/>
      <c r="U11" s="76"/>
      <c r="V11" s="76"/>
      <c r="W11" s="76"/>
      <c r="X11" s="76"/>
      <c r="Y11" s="76"/>
      <c r="Z11" s="76"/>
      <c r="AA11" s="76"/>
    </row>
    <row r="12" spans="2:35" ht="15.75" x14ac:dyDescent="0.5">
      <c r="D12" s="51"/>
      <c r="M12" s="74"/>
      <c r="N12" s="77"/>
    </row>
    <row r="13" spans="2:35" ht="15.75" x14ac:dyDescent="0.5">
      <c r="B13" s="56" t="s">
        <v>59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5">
        <f>MAX(M8:M11)</f>
        <v>3.2418311494443524</v>
      </c>
      <c r="N13" s="55">
        <f t="shared" ref="N13:O13" si="1">MAX(N8:N11)</f>
        <v>27.671755725190842</v>
      </c>
      <c r="O13" s="55">
        <f t="shared" si="1"/>
        <v>50.406626506024097</v>
      </c>
      <c r="P13" s="55">
        <f t="shared" ref="P13:Q13" si="2">MAX(P8:P11)</f>
        <v>2.87</v>
      </c>
      <c r="Q13" s="55">
        <f t="shared" si="2"/>
        <v>11.06</v>
      </c>
    </row>
    <row r="14" spans="2:35" ht="15.75" x14ac:dyDescent="0.5">
      <c r="B14" s="56" t="s">
        <v>58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5">
        <f>QUARTILE(M8:M11,3)</f>
        <v>2.9405136095136686</v>
      </c>
      <c r="N14" s="55">
        <f t="shared" ref="N14:O14" si="3">QUARTILE(N8:N11,3)</f>
        <v>22.108353439069731</v>
      </c>
      <c r="O14" s="55">
        <f t="shared" si="3"/>
        <v>39.654352704937395</v>
      </c>
      <c r="P14" s="55">
        <f t="shared" ref="P14:Q14" si="4">QUARTILE(P8:P11,3)</f>
        <v>2.1724999999999999</v>
      </c>
      <c r="Q14" s="55">
        <f t="shared" si="4"/>
        <v>3.3875000000000002</v>
      </c>
    </row>
    <row r="15" spans="2:35" ht="15.75" x14ac:dyDescent="0.5">
      <c r="B15" s="57" t="s">
        <v>57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>
        <f>AVERAGE(M8:M11)</f>
        <v>2.1082975884626176</v>
      </c>
      <c r="N15" s="58">
        <f t="shared" ref="N15:O15" si="5">AVERAGE(N8:N11)</f>
        <v>15.742839931713767</v>
      </c>
      <c r="O15" s="58">
        <f t="shared" si="5"/>
        <v>17.418048679987958</v>
      </c>
      <c r="P15" s="58">
        <f t="shared" ref="P15:Q15" si="6">AVERAGE(P8:P11)</f>
        <v>1.5525000000000002</v>
      </c>
      <c r="Q15" s="58">
        <f t="shared" si="6"/>
        <v>2.8050000000000002</v>
      </c>
      <c r="W15" s="44" t="s">
        <v>101</v>
      </c>
      <c r="X15" s="44" t="s">
        <v>102</v>
      </c>
      <c r="Y15" s="44" t="s">
        <v>45</v>
      </c>
      <c r="Z15" s="44" t="s">
        <v>103</v>
      </c>
      <c r="AA15" s="44" t="s">
        <v>46</v>
      </c>
      <c r="AC15" s="44" t="s">
        <v>104</v>
      </c>
      <c r="AD15" s="44" t="s">
        <v>105</v>
      </c>
      <c r="AE15" s="44" t="s">
        <v>106</v>
      </c>
      <c r="AF15" s="44" t="s">
        <v>107</v>
      </c>
      <c r="AG15" s="44" t="s">
        <v>46</v>
      </c>
    </row>
    <row r="16" spans="2:35" ht="15.75" x14ac:dyDescent="0.5">
      <c r="B16" s="57" t="s">
        <v>56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>
        <f>MEDIAN(M8:M11)</f>
        <v>2.0650820854322411</v>
      </c>
      <c r="N16" s="58">
        <f t="shared" ref="N16:O16" si="7">MEDIAN(N8:N11)</f>
        <v>14.531599550895827</v>
      </c>
      <c r="O16" s="58">
        <f t="shared" si="7"/>
        <v>20.88474065827814</v>
      </c>
      <c r="P16" s="58">
        <f t="shared" ref="P16:Q16" si="8">MEDIAN(P8:P11)</f>
        <v>1.3399999999999999</v>
      </c>
      <c r="Q16" s="58">
        <f t="shared" si="8"/>
        <v>0.79</v>
      </c>
      <c r="U16" s="44" t="s">
        <v>53</v>
      </c>
      <c r="W16" s="84">
        <f>M25</f>
        <v>21.971916446496714</v>
      </c>
      <c r="X16" s="84">
        <f t="shared" ref="X16:AA16" si="9">N25</f>
        <v>26.099102921915357</v>
      </c>
      <c r="Y16" s="84">
        <f t="shared" si="9"/>
        <v>46.106617817767152</v>
      </c>
      <c r="Z16" s="84">
        <f t="shared" si="9"/>
        <v>67.153087502689203</v>
      </c>
      <c r="AA16" s="84">
        <f t="shared" si="9"/>
        <v>74.397138345318638</v>
      </c>
      <c r="AC16" s="84">
        <f>W16</f>
        <v>21.971916446496714</v>
      </c>
      <c r="AD16" s="84">
        <f>X16-W16</f>
        <v>4.1271864754186431</v>
      </c>
      <c r="AE16" s="84">
        <f t="shared" ref="AE16:AG16" si="10">Y16-X16</f>
        <v>20.007514895851795</v>
      </c>
      <c r="AF16" s="84">
        <f t="shared" si="10"/>
        <v>21.046469684922052</v>
      </c>
      <c r="AG16" s="84">
        <f t="shared" si="10"/>
        <v>7.2440508426294343</v>
      </c>
      <c r="AH16" s="44">
        <v>58.3</v>
      </c>
      <c r="AI16" s="44">
        <v>1000</v>
      </c>
    </row>
    <row r="17" spans="2:35" ht="15.75" x14ac:dyDescent="0.5">
      <c r="B17" s="56" t="s">
        <v>55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5">
        <f>QUARTILE(M8:M11,1)</f>
        <v>1.2328660643811902</v>
      </c>
      <c r="N17" s="55">
        <f t="shared" ref="N17:O17" si="11">QUARTILE(N8:N11,1)</f>
        <v>8.1660860435398632</v>
      </c>
      <c r="O17" s="55">
        <f t="shared" si="11"/>
        <v>-1.3515633666712965</v>
      </c>
      <c r="P17" s="55">
        <f t="shared" ref="P17:Q17" si="12">QUARTILE(P8:P11,1)</f>
        <v>0.72</v>
      </c>
      <c r="Q17" s="55">
        <f t="shared" si="12"/>
        <v>0.20750000000000002</v>
      </c>
      <c r="U17" s="44" t="s">
        <v>44</v>
      </c>
      <c r="W17" s="84">
        <f>M32</f>
        <v>18.78809549499185</v>
      </c>
      <c r="X17" s="84">
        <f t="shared" ref="X17:AA17" si="13">N32</f>
        <v>25.69706766940233</v>
      </c>
      <c r="Y17" s="84">
        <f t="shared" si="13"/>
        <v>48.487960269708097</v>
      </c>
      <c r="Z17" s="84">
        <f t="shared" si="13"/>
        <v>75.615541402757486</v>
      </c>
      <c r="AA17" s="84">
        <f t="shared" si="13"/>
        <v>95.53457917539879</v>
      </c>
      <c r="AC17" s="84">
        <f t="shared" ref="AC17:AC20" si="14">W17</f>
        <v>18.78809549499185</v>
      </c>
      <c r="AD17" s="84">
        <f t="shared" ref="AD17:AD20" si="15">X17-W17</f>
        <v>6.9089721744104793</v>
      </c>
      <c r="AE17" s="84">
        <f t="shared" ref="AE17:AE20" si="16">Y17-X17</f>
        <v>22.790892600305767</v>
      </c>
      <c r="AF17" s="84">
        <f t="shared" ref="AF17:AF20" si="17">Z17-Y17</f>
        <v>27.127581133049389</v>
      </c>
      <c r="AG17" s="84">
        <f t="shared" ref="AG17:AG20" si="18">AA17-Z17</f>
        <v>19.919037772641303</v>
      </c>
      <c r="AH17" s="44">
        <v>58.3</v>
      </c>
      <c r="AI17" s="44">
        <v>0</v>
      </c>
    </row>
    <row r="18" spans="2:35" ht="15.75" x14ac:dyDescent="0.5">
      <c r="B18" s="56" t="s">
        <v>54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5">
        <f>MIN(M8:M11)</f>
        <v>1.061195033541636</v>
      </c>
      <c r="N18" s="55">
        <f t="shared" ref="N18:O18" si="19">MIN(N8:N11)</f>
        <v>6.236404899872575</v>
      </c>
      <c r="O18" s="55">
        <f t="shared" si="19"/>
        <v>-22.503913102628548</v>
      </c>
      <c r="P18" s="55">
        <f t="shared" ref="P18:Q18" si="20">MIN(P8:P11)</f>
        <v>0.66</v>
      </c>
      <c r="Q18" s="55">
        <f t="shared" si="20"/>
        <v>-1.42</v>
      </c>
      <c r="U18" s="44" t="s">
        <v>47</v>
      </c>
      <c r="W18" s="85">
        <f>M37</f>
        <v>-28.746108059972173</v>
      </c>
      <c r="X18" s="85">
        <f t="shared" ref="X18:AA18" si="21">N37</f>
        <v>-1.7264635892899349</v>
      </c>
      <c r="Y18" s="85">
        <f t="shared" si="21"/>
        <v>26.677805278995404</v>
      </c>
      <c r="Z18" s="85">
        <f t="shared" si="21"/>
        <v>50.653781975865975</v>
      </c>
      <c r="AA18" s="85">
        <f t="shared" si="21"/>
        <v>64.388549932303889</v>
      </c>
      <c r="AC18" s="84">
        <f t="shared" si="14"/>
        <v>-28.746108059972173</v>
      </c>
      <c r="AD18" s="84">
        <f t="shared" si="15"/>
        <v>27.019644470682238</v>
      </c>
      <c r="AE18" s="84">
        <f t="shared" si="16"/>
        <v>28.404268868285339</v>
      </c>
      <c r="AF18" s="84">
        <f t="shared" si="17"/>
        <v>23.975976696870571</v>
      </c>
      <c r="AG18" s="84">
        <f t="shared" si="18"/>
        <v>13.734767956437913</v>
      </c>
      <c r="AH18" s="44">
        <v>58.3</v>
      </c>
      <c r="AI18" s="44">
        <v>0</v>
      </c>
    </row>
    <row r="19" spans="2:35" ht="15.75" x14ac:dyDescent="0.5">
      <c r="U19" s="44" t="s">
        <v>89</v>
      </c>
      <c r="W19" s="85">
        <f>M44</f>
        <v>12.326685633001421</v>
      </c>
      <c r="X19" s="85">
        <f t="shared" ref="X19:AA19" si="22">N44</f>
        <v>13.769160739687054</v>
      </c>
      <c r="Y19" s="85">
        <f t="shared" si="22"/>
        <v>28.674736842105258</v>
      </c>
      <c r="Z19" s="85">
        <f t="shared" si="22"/>
        <v>48.689078947368422</v>
      </c>
      <c r="AA19" s="85">
        <f t="shared" si="22"/>
        <v>65.457852062588913</v>
      </c>
      <c r="AC19" s="84">
        <f t="shared" si="14"/>
        <v>12.326685633001421</v>
      </c>
      <c r="AD19" s="84">
        <f t="shared" si="15"/>
        <v>1.4424751066856327</v>
      </c>
      <c r="AE19" s="84">
        <f t="shared" si="16"/>
        <v>14.905576102418204</v>
      </c>
      <c r="AF19" s="84">
        <f t="shared" si="17"/>
        <v>20.014342105263164</v>
      </c>
      <c r="AG19" s="84">
        <f t="shared" si="18"/>
        <v>16.76877311522049</v>
      </c>
      <c r="AH19" s="44">
        <v>58.3</v>
      </c>
      <c r="AI19" s="44">
        <v>0</v>
      </c>
    </row>
    <row r="20" spans="2:35" ht="15.75" x14ac:dyDescent="0.5">
      <c r="B20" s="54" t="s">
        <v>71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2" t="s">
        <v>75</v>
      </c>
      <c r="N20" s="52" t="s">
        <v>76</v>
      </c>
      <c r="O20" s="52" t="s">
        <v>72</v>
      </c>
      <c r="P20" s="52" t="s">
        <v>77</v>
      </c>
      <c r="Q20" s="52" t="s">
        <v>78</v>
      </c>
      <c r="U20" s="44" t="s">
        <v>95</v>
      </c>
      <c r="W20" s="85">
        <f>M47</f>
        <v>-58.887305122494432</v>
      </c>
      <c r="X20" s="85">
        <f t="shared" ref="X20:AA20" si="23">N47</f>
        <v>8.6050111358574615</v>
      </c>
      <c r="Y20" s="85">
        <f t="shared" si="23"/>
        <v>32.761247216035635</v>
      </c>
      <c r="Z20" s="85">
        <f t="shared" si="23"/>
        <v>140.47939866369711</v>
      </c>
      <c r="AA20" s="85">
        <f t="shared" si="23"/>
        <v>458.65746102449896</v>
      </c>
      <c r="AC20" s="84">
        <f t="shared" si="14"/>
        <v>-58.887305122494432</v>
      </c>
      <c r="AD20" s="84">
        <f t="shared" si="15"/>
        <v>67.492316258351892</v>
      </c>
      <c r="AE20" s="84">
        <f t="shared" si="16"/>
        <v>24.156236080178175</v>
      </c>
      <c r="AF20" s="84">
        <f t="shared" si="17"/>
        <v>107.71815144766148</v>
      </c>
      <c r="AG20" s="84">
        <f t="shared" si="18"/>
        <v>318.17806236080185</v>
      </c>
      <c r="AH20" s="44">
        <v>58.3</v>
      </c>
      <c r="AI20" s="44">
        <v>0</v>
      </c>
    </row>
    <row r="21" spans="2:35" ht="15.75" x14ac:dyDescent="0.5">
      <c r="B21" s="44" t="s">
        <v>52</v>
      </c>
      <c r="I21" s="45"/>
      <c r="J21" s="45"/>
      <c r="K21" s="45"/>
      <c r="L21" s="45"/>
      <c r="M21" s="76">
        <f>M18*$I$7</f>
        <v>17935.257261887189</v>
      </c>
      <c r="N21" s="76">
        <f>M17*$I$7</f>
        <v>20836.669354106496</v>
      </c>
      <c r="O21" s="51">
        <f>M16*I7</f>
        <v>34901.952325890306</v>
      </c>
      <c r="P21" s="51">
        <f>M14*I7</f>
        <v>49697.62051439051</v>
      </c>
      <c r="Q21" s="51">
        <f>M13*I7</f>
        <v>54790.188256759</v>
      </c>
      <c r="U21" s="44" t="s">
        <v>108</v>
      </c>
      <c r="AC21" s="76">
        <v>53.8</v>
      </c>
      <c r="AD21" s="44">
        <v>53.8</v>
      </c>
      <c r="AE21" s="44">
        <v>53.8</v>
      </c>
      <c r="AF21" s="44">
        <v>53.8</v>
      </c>
      <c r="AG21" s="44">
        <v>53.8</v>
      </c>
      <c r="AH21" s="44">
        <v>58.3</v>
      </c>
      <c r="AI21" s="44">
        <v>0</v>
      </c>
    </row>
    <row r="22" spans="2:35" ht="15.75" x14ac:dyDescent="0.5">
      <c r="B22" s="44" t="s">
        <v>16</v>
      </c>
      <c r="F22" s="46"/>
      <c r="I22" s="45"/>
      <c r="J22" s="45"/>
      <c r="K22" s="45"/>
      <c r="L22" s="45"/>
      <c r="M22" s="51">
        <f t="shared" ref="M22:N22" si="24">$F7</f>
        <v>2489</v>
      </c>
      <c r="N22" s="51">
        <f t="shared" si="24"/>
        <v>2489</v>
      </c>
      <c r="O22" s="51">
        <f>$F7</f>
        <v>2489</v>
      </c>
      <c r="P22" s="51">
        <f t="shared" ref="P22:Q22" si="25">$F7</f>
        <v>2489</v>
      </c>
      <c r="Q22" s="51">
        <f t="shared" si="25"/>
        <v>2489</v>
      </c>
    </row>
    <row r="23" spans="2:35" ht="15.75" x14ac:dyDescent="0.5">
      <c r="B23" s="44" t="s">
        <v>50</v>
      </c>
      <c r="F23" s="46"/>
      <c r="I23" s="45"/>
      <c r="J23" s="45"/>
      <c r="K23" s="45"/>
      <c r="L23" s="45"/>
      <c r="M23" s="76">
        <f>M21-M22</f>
        <v>15446.257261887189</v>
      </c>
      <c r="N23" s="76">
        <f t="shared" ref="N23:Q23" si="26">N21-N22</f>
        <v>18347.669354106496</v>
      </c>
      <c r="O23" s="76">
        <f t="shared" si="26"/>
        <v>32412.952325890306</v>
      </c>
      <c r="P23" s="76">
        <f t="shared" si="26"/>
        <v>47208.62051439051</v>
      </c>
      <c r="Q23" s="76">
        <f t="shared" si="26"/>
        <v>52301.188256759</v>
      </c>
    </row>
    <row r="24" spans="2:35" ht="15.75" x14ac:dyDescent="0.5">
      <c r="B24" s="44" t="s">
        <v>49</v>
      </c>
      <c r="F24" s="46"/>
      <c r="M24" s="51">
        <f t="shared" ref="M24:N24" si="27">$D7</f>
        <v>703</v>
      </c>
      <c r="N24" s="51">
        <f t="shared" si="27"/>
        <v>703</v>
      </c>
      <c r="O24" s="51">
        <f>$D7</f>
        <v>703</v>
      </c>
      <c r="P24" s="51">
        <f t="shared" ref="P24:Q24" si="28">$D7</f>
        <v>703</v>
      </c>
      <c r="Q24" s="51">
        <f t="shared" si="28"/>
        <v>703</v>
      </c>
    </row>
    <row r="25" spans="2:35" ht="15.75" x14ac:dyDescent="0.5">
      <c r="B25" s="48" t="s">
        <v>48</v>
      </c>
      <c r="C25" s="50"/>
      <c r="D25" s="50"/>
      <c r="E25" s="48"/>
      <c r="F25" s="49"/>
      <c r="G25" s="48"/>
      <c r="H25" s="48"/>
      <c r="I25" s="48"/>
      <c r="J25" s="48"/>
      <c r="K25" s="48"/>
      <c r="L25" s="48"/>
      <c r="M25" s="79">
        <f>M23/M24</f>
        <v>21.971916446496714</v>
      </c>
      <c r="N25" s="79">
        <f t="shared" ref="N25:Q25" si="29">N23/N24</f>
        <v>26.099102921915357</v>
      </c>
      <c r="O25" s="79">
        <f t="shared" si="29"/>
        <v>46.106617817767152</v>
      </c>
      <c r="P25" s="79">
        <f t="shared" si="29"/>
        <v>67.153087502689203</v>
      </c>
      <c r="Q25" s="79">
        <f t="shared" si="29"/>
        <v>74.397138345318638</v>
      </c>
    </row>
    <row r="26" spans="2:35" ht="15.75" x14ac:dyDescent="0.5">
      <c r="C26" s="45"/>
      <c r="D26" s="45"/>
      <c r="F26" s="46"/>
    </row>
    <row r="27" spans="2:35" ht="15.75" x14ac:dyDescent="0.5">
      <c r="B27" s="54" t="s">
        <v>71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2" t="s">
        <v>79</v>
      </c>
      <c r="N27" s="52" t="s">
        <v>80</v>
      </c>
      <c r="O27" s="52" t="s">
        <v>73</v>
      </c>
      <c r="P27" s="52" t="s">
        <v>81</v>
      </c>
      <c r="Q27" s="52" t="s">
        <v>82</v>
      </c>
    </row>
    <row r="28" spans="2:35" ht="15.75" x14ac:dyDescent="0.5">
      <c r="B28" s="44" t="s">
        <v>52</v>
      </c>
      <c r="I28" s="45"/>
      <c r="J28" s="45"/>
      <c r="K28" s="45"/>
      <c r="L28" s="45"/>
      <c r="M28" s="78">
        <f>N18*J7</f>
        <v>15697.031132979271</v>
      </c>
      <c r="N28" s="76">
        <f>N17*J7</f>
        <v>20554.038571589837</v>
      </c>
      <c r="O28" s="51">
        <f>N16*J7</f>
        <v>36576.036069604794</v>
      </c>
      <c r="P28" s="51">
        <f>N14*J7</f>
        <v>55646.725606138512</v>
      </c>
      <c r="Q28" s="51">
        <f>N13*J7</f>
        <v>69649.809160305347</v>
      </c>
    </row>
    <row r="29" spans="2:35" ht="15.75" x14ac:dyDescent="0.5">
      <c r="B29" s="44" t="s">
        <v>16</v>
      </c>
      <c r="F29" s="46"/>
      <c r="I29" s="45"/>
      <c r="J29" s="45"/>
      <c r="K29" s="45"/>
      <c r="L29" s="45"/>
      <c r="M29" s="51">
        <f t="shared" ref="M29:N29" si="30">$F7</f>
        <v>2489</v>
      </c>
      <c r="N29" s="51">
        <f t="shared" si="30"/>
        <v>2489</v>
      </c>
      <c r="O29" s="51">
        <f>$F7</f>
        <v>2489</v>
      </c>
      <c r="P29" s="51">
        <f t="shared" ref="P29:Q29" si="31">$F7</f>
        <v>2489</v>
      </c>
      <c r="Q29" s="51">
        <f t="shared" si="31"/>
        <v>2489</v>
      </c>
    </row>
    <row r="30" spans="2:35" ht="15" customHeight="1" x14ac:dyDescent="0.5">
      <c r="B30" s="44" t="s">
        <v>50</v>
      </c>
      <c r="F30" s="46"/>
      <c r="I30" s="45"/>
      <c r="J30" s="45"/>
      <c r="K30" s="45"/>
      <c r="L30" s="45"/>
      <c r="M30" s="78">
        <f>M28-M29</f>
        <v>13208.031132979271</v>
      </c>
      <c r="N30" s="78">
        <f t="shared" ref="N30:Q30" si="32">N28-N29</f>
        <v>18065.038571589837</v>
      </c>
      <c r="O30" s="78">
        <f t="shared" si="32"/>
        <v>34087.036069604794</v>
      </c>
      <c r="P30" s="78">
        <f t="shared" si="32"/>
        <v>53157.725606138512</v>
      </c>
      <c r="Q30" s="78">
        <f t="shared" si="32"/>
        <v>67160.809160305347</v>
      </c>
    </row>
    <row r="31" spans="2:35" ht="15" customHeight="1" x14ac:dyDescent="0.5">
      <c r="B31" s="44" t="s">
        <v>49</v>
      </c>
      <c r="F31" s="46"/>
      <c r="M31" s="51">
        <f t="shared" ref="M31:N31" si="33">$D7</f>
        <v>703</v>
      </c>
      <c r="N31" s="51">
        <f t="shared" si="33"/>
        <v>703</v>
      </c>
      <c r="O31" s="51">
        <f>$D7</f>
        <v>703</v>
      </c>
      <c r="P31" s="51">
        <f t="shared" ref="P31:Q31" si="34">$D7</f>
        <v>703</v>
      </c>
      <c r="Q31" s="51">
        <f t="shared" si="34"/>
        <v>703</v>
      </c>
    </row>
    <row r="32" spans="2:35" ht="15" customHeight="1" x14ac:dyDescent="0.5">
      <c r="B32" s="48" t="s">
        <v>48</v>
      </c>
      <c r="C32" s="50"/>
      <c r="D32" s="50"/>
      <c r="E32" s="48"/>
      <c r="F32" s="49"/>
      <c r="G32" s="48"/>
      <c r="H32" s="48"/>
      <c r="I32" s="48"/>
      <c r="J32" s="48"/>
      <c r="K32" s="48"/>
      <c r="L32" s="48"/>
      <c r="M32" s="79">
        <f>M30/M31</f>
        <v>18.78809549499185</v>
      </c>
      <c r="N32" s="79">
        <f t="shared" ref="N32:Q32" si="35">N30/N31</f>
        <v>25.69706766940233</v>
      </c>
      <c r="O32" s="79">
        <f t="shared" si="35"/>
        <v>48.487960269708097</v>
      </c>
      <c r="P32" s="79">
        <f t="shared" si="35"/>
        <v>75.615541402757486</v>
      </c>
      <c r="Q32" s="79">
        <f t="shared" si="35"/>
        <v>95.53457917539879</v>
      </c>
    </row>
    <row r="34" spans="2:17" ht="15" customHeight="1" x14ac:dyDescent="0.5">
      <c r="B34" s="54" t="s">
        <v>71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2" t="s">
        <v>84</v>
      </c>
      <c r="N34" s="52" t="s">
        <v>85</v>
      </c>
      <c r="O34" s="52" t="s">
        <v>74</v>
      </c>
      <c r="P34" s="52" t="s">
        <v>86</v>
      </c>
      <c r="Q34" s="52" t="s">
        <v>87</v>
      </c>
    </row>
    <row r="35" spans="2:17" ht="15" customHeight="1" x14ac:dyDescent="0.5">
      <c r="B35" s="44" t="s">
        <v>50</v>
      </c>
      <c r="F35" s="46"/>
      <c r="I35" s="45"/>
      <c r="J35" s="45"/>
      <c r="K35" s="45"/>
      <c r="L35" s="45"/>
      <c r="M35" s="76">
        <f>O18*K7</f>
        <v>-20208.513966160437</v>
      </c>
      <c r="N35" s="76">
        <f>O17*K7</f>
        <v>-1213.7039032708242</v>
      </c>
      <c r="O35" s="51">
        <f>O16*K7</f>
        <v>18754.497111133769</v>
      </c>
      <c r="P35" s="51">
        <f>O14*K7</f>
        <v>35609.608729033782</v>
      </c>
      <c r="Q35" s="51">
        <f>O13*K7</f>
        <v>45265.150602409638</v>
      </c>
    </row>
    <row r="36" spans="2:17" ht="15" customHeight="1" x14ac:dyDescent="0.5">
      <c r="B36" s="44" t="s">
        <v>49</v>
      </c>
      <c r="F36" s="46"/>
      <c r="M36" s="80">
        <v>703</v>
      </c>
      <c r="N36" s="80">
        <v>703</v>
      </c>
      <c r="O36" s="80">
        <v>703</v>
      </c>
      <c r="P36" s="80">
        <v>703</v>
      </c>
      <c r="Q36" s="80">
        <v>703</v>
      </c>
    </row>
    <row r="37" spans="2:17" ht="15" customHeight="1" x14ac:dyDescent="0.5">
      <c r="B37" s="48" t="s">
        <v>48</v>
      </c>
      <c r="C37" s="50"/>
      <c r="D37" s="50"/>
      <c r="E37" s="48"/>
      <c r="F37" s="49"/>
      <c r="G37" s="48"/>
      <c r="H37" s="48"/>
      <c r="I37" s="48"/>
      <c r="J37" s="48"/>
      <c r="K37" s="48"/>
      <c r="L37" s="48"/>
      <c r="M37" s="47">
        <f>M35/M36</f>
        <v>-28.746108059972173</v>
      </c>
      <c r="N37" s="47">
        <f>N35/N36</f>
        <v>-1.7264635892899349</v>
      </c>
      <c r="O37" s="47">
        <f>O35/O36</f>
        <v>26.677805278995404</v>
      </c>
      <c r="P37" s="47">
        <f t="shared" ref="P37:Q37" si="36">P35/P36</f>
        <v>50.653781975865975</v>
      </c>
      <c r="Q37" s="47">
        <f t="shared" si="36"/>
        <v>64.388549932303889</v>
      </c>
    </row>
    <row r="39" spans="2:17" ht="15" customHeight="1" x14ac:dyDescent="0.5">
      <c r="B39" s="54" t="s">
        <v>71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2" t="s">
        <v>90</v>
      </c>
      <c r="N39" s="52" t="s">
        <v>91</v>
      </c>
      <c r="O39" s="52" t="s">
        <v>92</v>
      </c>
      <c r="P39" s="52" t="s">
        <v>93</v>
      </c>
      <c r="Q39" s="52" t="s">
        <v>94</v>
      </c>
    </row>
    <row r="40" spans="2:17" ht="15" customHeight="1" x14ac:dyDescent="0.5">
      <c r="B40" s="44" t="s">
        <v>52</v>
      </c>
      <c r="I40" s="45"/>
      <c r="J40" s="45"/>
      <c r="K40" s="45"/>
      <c r="L40" s="45"/>
      <c r="M40" s="76">
        <f>P18*I7</f>
        <v>11154.66</v>
      </c>
      <c r="N40" s="76">
        <f>P17*I7</f>
        <v>12168.72</v>
      </c>
      <c r="O40" s="51">
        <f>P16*I7</f>
        <v>22647.339999999997</v>
      </c>
      <c r="P40" s="51">
        <f>P14*I7</f>
        <v>36717.422500000001</v>
      </c>
      <c r="Q40" s="51">
        <f>P13*I7</f>
        <v>48505.87</v>
      </c>
    </row>
    <row r="41" spans="2:17" ht="15" customHeight="1" x14ac:dyDescent="0.5">
      <c r="B41" s="44" t="s">
        <v>16</v>
      </c>
      <c r="F41" s="46"/>
      <c r="I41" s="45"/>
      <c r="J41" s="45"/>
      <c r="K41" s="45"/>
      <c r="L41" s="45"/>
      <c r="M41" s="76">
        <f>$F7</f>
        <v>2489</v>
      </c>
      <c r="N41" s="76">
        <f t="shared" ref="N41:Q41" si="37">$F7</f>
        <v>2489</v>
      </c>
      <c r="O41" s="76">
        <f t="shared" si="37"/>
        <v>2489</v>
      </c>
      <c r="P41" s="76">
        <f t="shared" si="37"/>
        <v>2489</v>
      </c>
      <c r="Q41" s="76">
        <f t="shared" si="37"/>
        <v>2489</v>
      </c>
    </row>
    <row r="42" spans="2:17" ht="15" customHeight="1" x14ac:dyDescent="0.5">
      <c r="B42" s="44" t="s">
        <v>50</v>
      </c>
      <c r="F42" s="46"/>
      <c r="I42" s="45"/>
      <c r="J42" s="45"/>
      <c r="K42" s="45"/>
      <c r="L42" s="45"/>
      <c r="M42" s="76">
        <f>M40-M41</f>
        <v>8665.66</v>
      </c>
      <c r="N42" s="76">
        <f t="shared" ref="N42:Q42" si="38">N40-N41</f>
        <v>9679.7199999999993</v>
      </c>
      <c r="O42" s="76">
        <f t="shared" si="38"/>
        <v>20158.339999999997</v>
      </c>
      <c r="P42" s="76">
        <f t="shared" si="38"/>
        <v>34228.422500000001</v>
      </c>
      <c r="Q42" s="76">
        <f t="shared" si="38"/>
        <v>46016.87</v>
      </c>
    </row>
    <row r="43" spans="2:17" ht="15" customHeight="1" x14ac:dyDescent="0.5">
      <c r="B43" s="44" t="s">
        <v>49</v>
      </c>
      <c r="F43" s="46"/>
      <c r="M43" s="80">
        <f>$D7</f>
        <v>703</v>
      </c>
      <c r="N43" s="80">
        <f t="shared" ref="N43:Q43" si="39">$D7</f>
        <v>703</v>
      </c>
      <c r="O43" s="80">
        <f t="shared" si="39"/>
        <v>703</v>
      </c>
      <c r="P43" s="80">
        <f t="shared" si="39"/>
        <v>703</v>
      </c>
      <c r="Q43" s="80">
        <f t="shared" si="39"/>
        <v>703</v>
      </c>
    </row>
    <row r="44" spans="2:17" ht="15" customHeight="1" x14ac:dyDescent="0.5">
      <c r="B44" s="48" t="s">
        <v>48</v>
      </c>
      <c r="C44" s="50"/>
      <c r="D44" s="50"/>
      <c r="E44" s="48"/>
      <c r="F44" s="49"/>
      <c r="G44" s="48"/>
      <c r="H44" s="48"/>
      <c r="I44" s="48"/>
      <c r="J44" s="48"/>
      <c r="K44" s="48"/>
      <c r="L44" s="48"/>
      <c r="M44" s="47">
        <f>M42/M43</f>
        <v>12.326685633001421</v>
      </c>
      <c r="N44" s="47">
        <f t="shared" ref="N44:Q44" si="40">N42/N43</f>
        <v>13.769160739687054</v>
      </c>
      <c r="O44" s="47">
        <f t="shared" si="40"/>
        <v>28.674736842105258</v>
      </c>
      <c r="P44" s="47">
        <f t="shared" si="40"/>
        <v>48.689078947368422</v>
      </c>
      <c r="Q44" s="47">
        <f t="shared" si="40"/>
        <v>65.457852062588913</v>
      </c>
    </row>
    <row r="46" spans="2:17" ht="15" customHeight="1" x14ac:dyDescent="0.5">
      <c r="B46" s="54" t="s">
        <v>71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2" t="s">
        <v>96</v>
      </c>
      <c r="N46" s="52" t="s">
        <v>97</v>
      </c>
      <c r="O46" s="52" t="s">
        <v>98</v>
      </c>
      <c r="P46" s="52" t="s">
        <v>99</v>
      </c>
      <c r="Q46" s="52" t="s">
        <v>100</v>
      </c>
    </row>
    <row r="47" spans="2:17" ht="15" customHeight="1" x14ac:dyDescent="0.5">
      <c r="B47" s="48" t="s">
        <v>48</v>
      </c>
      <c r="C47" s="50"/>
      <c r="D47" s="50"/>
      <c r="E47" s="48"/>
      <c r="F47" s="49"/>
      <c r="G47" s="48"/>
      <c r="H47" s="48"/>
      <c r="I47" s="48"/>
      <c r="J47" s="48"/>
      <c r="K47" s="48"/>
      <c r="L47" s="48"/>
      <c r="M47" s="47">
        <f>Q18*O7</f>
        <v>-58.887305122494432</v>
      </c>
      <c r="N47" s="47">
        <f>Q17*O7</f>
        <v>8.6050111358574615</v>
      </c>
      <c r="O47" s="47">
        <f>Q16*O7</f>
        <v>32.761247216035635</v>
      </c>
      <c r="P47" s="47">
        <f>Q14*O7</f>
        <v>140.47939866369711</v>
      </c>
      <c r="Q47" s="47">
        <f>Q13*O7</f>
        <v>458.65746102449896</v>
      </c>
    </row>
  </sheetData>
  <mergeCells count="3">
    <mergeCell ref="C4:G4"/>
    <mergeCell ref="I4:K4"/>
    <mergeCell ref="M4:Q4"/>
  </mergeCells>
  <pageMargins left="0.7" right="0.7" top="0.75" bottom="0.75" header="0" footer="0"/>
  <pageSetup orientation="landscape"/>
  <ignoredErrors>
    <ignoredError sqref="P13:P1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Financials</vt:lpstr>
      <vt:lpstr>Company Statistics</vt:lpstr>
      <vt:lpstr>Competitors</vt:lpstr>
      <vt:lpstr>Football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Dhathathreyan Natarajan</dc:creator>
  <cp:lastModifiedBy>Dhathathreyan Natarajan</cp:lastModifiedBy>
  <dcterms:created xsi:type="dcterms:W3CDTF">2024-08-15T12:49:50Z</dcterms:created>
  <dcterms:modified xsi:type="dcterms:W3CDTF">2024-08-18T06:57:24Z</dcterms:modified>
</cp:coreProperties>
</file>