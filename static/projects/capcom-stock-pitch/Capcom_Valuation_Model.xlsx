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niversity (NUS)\Projects\Nanyang Capital Stock Pitch 2026\"/>
    </mc:Choice>
  </mc:AlternateContent>
  <xr:revisionPtr revIDLastSave="0" documentId="8_{12E4EE3D-FAD0-4891-A33F-7A6E3D36A32F}" xr6:coauthVersionLast="47" xr6:coauthVersionMax="47" xr10:uidLastSave="{00000000-0000-0000-0000-000000000000}"/>
  <bookViews>
    <workbookView xWindow="38280" yWindow="-120" windowWidth="29040" windowHeight="15720" activeTab="2" xr2:uid="{00000000-000D-0000-FFFF-FFFF00000000}"/>
  </bookViews>
  <sheets>
    <sheet name="Assumptions" sheetId="1" r:id="rId1"/>
    <sheet name="Income Statement" sheetId="2" r:id="rId2"/>
    <sheet name="Explanations" sheetId="3" r:id="rId3"/>
    <sheet name="Balance Sheet" sheetId="4" r:id="rId4"/>
    <sheet name="Cash Flow" sheetId="5" r:id="rId5"/>
    <sheet name="Valuation" sheetId="6" r:id="rId6"/>
    <sheet name="Valuation Methodology" sheetId="7" r:id="rId7"/>
    <sheet name="Sensitivity" sheetId="8" r:id="rId8"/>
    <sheet name="Unit Sales" sheetId="9" r:id="rId9"/>
    <sheet name="Business &amp; Industry" sheetId="10" r:id="rId10"/>
    <sheet name="Investment Thesis" sheetId="11" r:id="rId11"/>
    <sheet name="Market Setup" sheetId="12" r:id="rId12"/>
    <sheet name="Risk-Reward" sheetId="13" r:id="rId13"/>
    <sheet name="Competitor Analysis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13" l="1"/>
  <c r="H20" i="14"/>
  <c r="H19" i="14"/>
  <c r="H18" i="14"/>
  <c r="H17" i="14"/>
  <c r="H16" i="14"/>
  <c r="H14" i="14"/>
  <c r="H13" i="14"/>
  <c r="H12" i="14"/>
  <c r="H11" i="14"/>
  <c r="H10" i="14"/>
  <c r="H9" i="14"/>
  <c r="H8" i="14"/>
  <c r="H7" i="14"/>
  <c r="H6" i="14"/>
  <c r="E10" i="13"/>
  <c r="D7" i="13"/>
  <c r="E7" i="13" s="1"/>
  <c r="E6" i="13"/>
  <c r="D6" i="13"/>
  <c r="D5" i="13"/>
  <c r="E5" i="13" s="1"/>
  <c r="E8" i="13" s="1"/>
  <c r="B13" i="10"/>
  <c r="B15" i="9"/>
  <c r="F10" i="9"/>
  <c r="E10" i="9"/>
  <c r="I9" i="9"/>
  <c r="I10" i="9" s="1"/>
  <c r="H9" i="9"/>
  <c r="H10" i="9" s="1"/>
  <c r="G9" i="9"/>
  <c r="G10" i="9" s="1"/>
  <c r="F9" i="9"/>
  <c r="E9" i="9"/>
  <c r="D9" i="9"/>
  <c r="D10" i="9" s="1"/>
  <c r="C9" i="9"/>
  <c r="C10" i="9" s="1"/>
  <c r="B9" i="9"/>
  <c r="B10" i="9" s="1"/>
  <c r="D15" i="8"/>
  <c r="E15" i="8" s="1"/>
  <c r="D13" i="8"/>
  <c r="E13" i="8" s="1"/>
  <c r="E40" i="6"/>
  <c r="D40" i="6"/>
  <c r="C40" i="6"/>
  <c r="B40" i="6"/>
  <c r="E34" i="6"/>
  <c r="B30" i="6"/>
  <c r="B20" i="6"/>
  <c r="B18" i="6"/>
  <c r="B16" i="6"/>
  <c r="F19" i="5"/>
  <c r="E17" i="5"/>
  <c r="F16" i="5"/>
  <c r="F17" i="5" s="1"/>
  <c r="E16" i="5"/>
  <c r="D16" i="5"/>
  <c r="D17" i="5" s="1"/>
  <c r="C16" i="5"/>
  <c r="C17" i="5" s="1"/>
  <c r="B16" i="5"/>
  <c r="B17" i="5" s="1"/>
  <c r="I14" i="5"/>
  <c r="H14" i="5"/>
  <c r="G14" i="5"/>
  <c r="F14" i="5"/>
  <c r="E14" i="5"/>
  <c r="E19" i="5" s="1"/>
  <c r="D14" i="5"/>
  <c r="D19" i="5" s="1"/>
  <c r="C14" i="5"/>
  <c r="B14" i="5"/>
  <c r="I10" i="5"/>
  <c r="H10" i="5"/>
  <c r="G10" i="5"/>
  <c r="F10" i="5"/>
  <c r="E10" i="5"/>
  <c r="D10" i="5"/>
  <c r="C10" i="5"/>
  <c r="C19" i="5" s="1"/>
  <c r="B10" i="5"/>
  <c r="B19" i="5" s="1"/>
  <c r="E25" i="4"/>
  <c r="D25" i="4"/>
  <c r="C25" i="4"/>
  <c r="B25" i="4"/>
  <c r="C21" i="4"/>
  <c r="B21" i="4"/>
  <c r="E19" i="4"/>
  <c r="E21" i="4" s="1"/>
  <c r="D19" i="4"/>
  <c r="D21" i="4" s="1"/>
  <c r="C19" i="4"/>
  <c r="B19" i="4"/>
  <c r="D14" i="4"/>
  <c r="D24" i="4" s="1"/>
  <c r="E13" i="4"/>
  <c r="D13" i="4"/>
  <c r="C13" i="4"/>
  <c r="C14" i="4" s="1"/>
  <c r="C24" i="4" s="1"/>
  <c r="B13" i="4"/>
  <c r="B14" i="4" s="1"/>
  <c r="B24" i="4" s="1"/>
  <c r="E9" i="4"/>
  <c r="E14" i="4" s="1"/>
  <c r="E24" i="4" s="1"/>
  <c r="D9" i="4"/>
  <c r="C9" i="4"/>
  <c r="B9" i="4"/>
  <c r="B26" i="2"/>
  <c r="B27" i="2" s="1"/>
  <c r="B21" i="2"/>
  <c r="B22" i="2" s="1"/>
  <c r="B18" i="2"/>
  <c r="B15" i="2"/>
  <c r="F14" i="2"/>
  <c r="F18" i="2" s="1"/>
  <c r="F21" i="2" s="1"/>
  <c r="E14" i="2"/>
  <c r="E26" i="2" s="1"/>
  <c r="E27" i="2" s="1"/>
  <c r="D14" i="2"/>
  <c r="D26" i="2" s="1"/>
  <c r="D27" i="2" s="1"/>
  <c r="B14" i="2"/>
  <c r="F11" i="2"/>
  <c r="B11" i="2"/>
  <c r="F10" i="2"/>
  <c r="E10" i="2"/>
  <c r="E11" i="2" s="1"/>
  <c r="D10" i="2"/>
  <c r="D11" i="2" s="1"/>
  <c r="C10" i="2"/>
  <c r="C14" i="2" s="1"/>
  <c r="B10" i="2"/>
  <c r="F7" i="2"/>
  <c r="E7" i="2"/>
  <c r="D7" i="2"/>
  <c r="C7" i="2"/>
  <c r="F61" i="1"/>
  <c r="F59" i="1"/>
  <c r="F58" i="1"/>
  <c r="F56" i="1"/>
  <c r="F47" i="1"/>
  <c r="F48" i="1" s="1"/>
  <c r="B9" i="6" s="1"/>
  <c r="I38" i="1"/>
  <c r="H38" i="1"/>
  <c r="G38" i="1"/>
  <c r="F38" i="1"/>
  <c r="I31" i="1"/>
  <c r="H31" i="1"/>
  <c r="G31" i="1"/>
  <c r="F31" i="1"/>
  <c r="I30" i="1"/>
  <c r="I29" i="1"/>
  <c r="H29" i="1"/>
  <c r="H30" i="1" s="1"/>
  <c r="G29" i="1"/>
  <c r="G30" i="1" s="1"/>
  <c r="I21" i="1"/>
  <c r="I6" i="2" s="1"/>
  <c r="H21" i="1"/>
  <c r="H22" i="1" s="1"/>
  <c r="G21" i="1"/>
  <c r="G22" i="1" s="1"/>
  <c r="F21" i="1"/>
  <c r="D14" i="8" s="1"/>
  <c r="E14" i="8" s="1"/>
  <c r="F10" i="1"/>
  <c r="E10" i="1"/>
  <c r="D10" i="1"/>
  <c r="C10" i="1"/>
  <c r="F22" i="2" l="1"/>
  <c r="E26" i="4"/>
  <c r="I9" i="2"/>
  <c r="I13" i="2"/>
  <c r="I10" i="2"/>
  <c r="E10" i="6"/>
  <c r="D10" i="6"/>
  <c r="C10" i="6"/>
  <c r="B10" i="6"/>
  <c r="C26" i="2"/>
  <c r="C27" i="2" s="1"/>
  <c r="C18" i="2"/>
  <c r="C21" i="2" s="1"/>
  <c r="C22" i="2" s="1"/>
  <c r="C15" i="2"/>
  <c r="I22" i="1"/>
  <c r="F26" i="2"/>
  <c r="F27" i="2" s="1"/>
  <c r="H6" i="2"/>
  <c r="C11" i="2"/>
  <c r="D15" i="2"/>
  <c r="E15" i="2"/>
  <c r="F15" i="2"/>
  <c r="D34" i="6" s="1"/>
  <c r="D18" i="2"/>
  <c r="D21" i="2" s="1"/>
  <c r="B27" i="6"/>
  <c r="E18" i="2"/>
  <c r="E21" i="2" s="1"/>
  <c r="G6" i="2"/>
  <c r="B28" i="6"/>
  <c r="C34" i="6" s="1"/>
  <c r="B29" i="6"/>
  <c r="H7" i="2" l="1"/>
  <c r="H9" i="2"/>
  <c r="H10" i="2" s="1"/>
  <c r="H13" i="2"/>
  <c r="G9" i="2"/>
  <c r="G10" i="2" s="1"/>
  <c r="G13" i="2"/>
  <c r="G7" i="2"/>
  <c r="E22" i="2"/>
  <c r="D26" i="4"/>
  <c r="B26" i="6"/>
  <c r="B34" i="6" s="1"/>
  <c r="C26" i="4"/>
  <c r="D22" i="2"/>
  <c r="I7" i="2"/>
  <c r="I11" i="2"/>
  <c r="I14" i="2"/>
  <c r="G14" i="2" l="1"/>
  <c r="G11" i="2"/>
  <c r="H14" i="2"/>
  <c r="H11" i="2"/>
  <c r="I18" i="2"/>
  <c r="I15" i="2"/>
  <c r="I26" i="2"/>
  <c r="I27" i="2" s="1"/>
  <c r="I19" i="2" l="1"/>
  <c r="I21" i="2" s="1"/>
  <c r="H18" i="2"/>
  <c r="H26" i="2"/>
  <c r="H15" i="2"/>
  <c r="D27" i="6"/>
  <c r="G18" i="2"/>
  <c r="G26" i="2"/>
  <c r="G15" i="2"/>
  <c r="C27" i="6"/>
  <c r="I6" i="5" l="1"/>
  <c r="I22" i="2"/>
  <c r="H27" i="2"/>
  <c r="D26" i="6"/>
  <c r="G27" i="2"/>
  <c r="B43" i="6" s="1"/>
  <c r="B44" i="6" s="1"/>
  <c r="B45" i="6" s="1"/>
  <c r="C26" i="6"/>
  <c r="G19" i="2"/>
  <c r="G21" i="2" s="1"/>
  <c r="H19" i="2"/>
  <c r="H21" i="2" s="1"/>
  <c r="D28" i="6" l="1"/>
  <c r="H22" i="2"/>
  <c r="H6" i="5"/>
  <c r="G22" i="2"/>
  <c r="C28" i="6"/>
  <c r="G6" i="5"/>
  <c r="B46" i="6"/>
  <c r="B47" i="6" s="1"/>
  <c r="I16" i="5"/>
  <c r="I19" i="5"/>
  <c r="I17" i="5" l="1"/>
  <c r="D7" i="6"/>
  <c r="H16" i="5"/>
  <c r="H19" i="5"/>
  <c r="G16" i="5"/>
  <c r="G19" i="5"/>
  <c r="B7" i="6" l="1"/>
  <c r="G17" i="5"/>
  <c r="C29" i="6"/>
  <c r="D11" i="6"/>
  <c r="E8" i="6"/>
  <c r="E11" i="6" s="1"/>
  <c r="B14" i="6" s="1"/>
  <c r="C7" i="6"/>
  <c r="C11" i="6" s="1"/>
  <c r="H17" i="5"/>
  <c r="D9" i="8" l="1"/>
  <c r="B6" i="8"/>
  <c r="C9" i="8"/>
  <c r="G5" i="8"/>
  <c r="B9" i="8"/>
  <c r="D5" i="8"/>
  <c r="F5" i="8"/>
  <c r="E8" i="8"/>
  <c r="C5" i="8"/>
  <c r="D8" i="8"/>
  <c r="B5" i="8"/>
  <c r="C6" i="8"/>
  <c r="G8" i="8"/>
  <c r="C8" i="8"/>
  <c r="B8" i="8"/>
  <c r="B11" i="6"/>
  <c r="B13" i="6" s="1"/>
  <c r="B15" i="6" s="1"/>
  <c r="B17" i="6" s="1"/>
  <c r="B19" i="6" s="1"/>
  <c r="B21" i="6" s="1"/>
  <c r="G7" i="8"/>
  <c r="F7" i="8"/>
  <c r="G10" i="8"/>
  <c r="E7" i="8"/>
  <c r="C7" i="8"/>
  <c r="D6" i="8"/>
  <c r="F8" i="8"/>
  <c r="F10" i="8"/>
  <c r="D7" i="8"/>
  <c r="E10" i="8"/>
  <c r="E9" i="8"/>
  <c r="E5" i="8"/>
  <c r="D10" i="8"/>
  <c r="B7" i="8"/>
  <c r="G9" i="8"/>
  <c r="C10" i="8"/>
  <c r="G6" i="8"/>
  <c r="E6" i="8"/>
  <c r="B10" i="8"/>
  <c r="F6" i="8"/>
  <c r="F9" i="8"/>
</calcChain>
</file>

<file path=xl/sharedStrings.xml><?xml version="1.0" encoding="utf-8"?>
<sst xmlns="http://schemas.openxmlformats.org/spreadsheetml/2006/main" count="1136" uniqueCount="983">
  <si>
    <t>CAPCOM CO., LTD. — COMPREHENSIVE ASSUMPTIONS</t>
  </si>
  <si>
    <t>All figures in ¥ millions unless noted | Fiscal Year ends March 31</t>
  </si>
  <si>
    <t>Metric</t>
  </si>
  <si>
    <t>FY2021</t>
  </si>
  <si>
    <t>FY2022</t>
  </si>
  <si>
    <t>FY2023</t>
  </si>
  <si>
    <t>FY2024</t>
  </si>
  <si>
    <t>FY2025</t>
  </si>
  <si>
    <t>AY26E</t>
  </si>
  <si>
    <t>AY27E</t>
  </si>
  <si>
    <t>AY28E</t>
  </si>
  <si>
    <t>Calculation Source / Justification</t>
  </si>
  <si>
    <t>SECTION 1: HISTORICAL FINANCIAL DATA (FY2021-FY2025)</t>
  </si>
  <si>
    <t>Consolidated Revenue (¥M)</t>
  </si>
  <si>
    <t>Source: Compiled Financials, FY2021-FY2025 Actuals</t>
  </si>
  <si>
    <t>Total Unit Sales (millions)</t>
  </si>
  <si>
    <t>Source: Integrated Report 2025, p.24</t>
  </si>
  <si>
    <t>YoY Revenue Growth %</t>
  </si>
  <si>
    <t>Calculated: (Current Year / Prior Year) - 1</t>
  </si>
  <si>
    <t>Digital Sales Mix %</t>
  </si>
  <si>
    <t>Source: Integrated Report 2025, trend p.24</t>
  </si>
  <si>
    <t>Catalog Sales Mix %</t>
  </si>
  <si>
    <t>Source: Integrated Report 2025, p.15</t>
  </si>
  <si>
    <t>SECTION 2: REVENUE PROJECTIONS BY SEGMENT (Bottom-Up Build)</t>
  </si>
  <si>
    <t>Business Segment</t>
  </si>
  <si>
    <t>FY2025A</t>
  </si>
  <si>
    <t>Driver / Justification</t>
  </si>
  <si>
    <t>Digital Contents (¥M)</t>
  </si>
  <si>
    <t>MH Wilds full-year (10.1M→15.5M) + RE Requiem launch + 79% catalog retention</t>
  </si>
  <si>
    <t>Arcade Operations (¥M)</t>
  </si>
  <si>
    <t>Inbound tourism recovery (45M visitors by AY28) + 4 new stores/year expansion</t>
  </si>
  <si>
    <t>Amusement Equipment (¥M)</t>
  </si>
  <si>
    <t>Smart Slot penetration (RE Village 10,400 units → 12,000 units/year)</t>
  </si>
  <si>
    <t>Other Businesses (¥M)</t>
  </si>
  <si>
    <t>eSports (SF6 tournaments) + IP licensing expansion + Netflix anime</t>
  </si>
  <si>
    <t>TOTAL CONSOLIDATED REVENUE</t>
  </si>
  <si>
    <t>Sum of all business segments</t>
  </si>
  <si>
    <t>YoY Growth %</t>
  </si>
  <si>
    <t>Implied growth from segment buildup</t>
  </si>
  <si>
    <t>SECTION 3: DETAILED UNIT SALES PROJECTIONS</t>
  </si>
  <si>
    <t>Unit Sales Category</t>
  </si>
  <si>
    <t>Calculation Method</t>
  </si>
  <si>
    <t>New Titles (M units)</t>
  </si>
  <si>
    <t>MH Wilds (10.1M→15.5M) + RE Requiem (0.5M→6.0M) + pipeline</t>
  </si>
  <si>
    <t>Catalog Titles (M units)</t>
  </si>
  <si>
    <t>78% retention of prior year catalog base + new title carryover</t>
  </si>
  <si>
    <t>Digital Units (M)</t>
  </si>
  <si>
    <t>Total units × Digital % (76.1% → 78% → 80% → 82% trend)</t>
  </si>
  <si>
    <t>Physical Units (M)</t>
  </si>
  <si>
    <t>Total units - Digital units (declining trend)</t>
  </si>
  <si>
    <t>TOTAL UNITS (M)</t>
  </si>
  <si>
    <t>New Titles + Catalog Titles (path to 100M target: 64%)</t>
  </si>
  <si>
    <t>SECTION 4: PROFITABILITY ASSUMPTIONS</t>
  </si>
  <si>
    <t>Margin Metric</t>
  </si>
  <si>
    <t>Source / Justification</t>
  </si>
  <si>
    <t>Gross Margin %</t>
  </si>
  <si>
    <t>Digital mix expansion (76%→82%) + catalog scale = margin improvement</t>
  </si>
  <si>
    <t>SG&amp;A as % of Revenue</t>
  </si>
  <si>
    <t>FY21-25 avg: 18.3%; slightly elevated for global expansion investments</t>
  </si>
  <si>
    <t>Operating Margin % (Implied)</t>
  </si>
  <si>
    <t>Gross Margin - SG&amp;A% = Operating Margin</t>
  </si>
  <si>
    <t>Effective Tax Rate %</t>
  </si>
  <si>
    <t>FY21-25 avg: 26.2%; Japan corporate tax rate ~26%</t>
  </si>
  <si>
    <t>SECTION 5: DCF VALUATION ASSUMPTIONS</t>
  </si>
  <si>
    <t>DCF Parameter</t>
  </si>
  <si>
    <t>Value</t>
  </si>
  <si>
    <t>Source / Calculation</t>
  </si>
  <si>
    <t>Risk-Free Rate (JGB 10Y)</t>
  </si>
  <si>
    <t>Japan 10-Year Government Bond Yield (as of Jan 2026)</t>
  </si>
  <si>
    <t>Equity Risk Premium</t>
  </si>
  <si>
    <t>Japanese market ERP: 5.5% (historical average)</t>
  </si>
  <si>
    <t>Beta (5Y)</t>
  </si>
  <si>
    <t>Source: Bloomberg, 5-year monthly beta vs TOPIX</t>
  </si>
  <si>
    <t>Cost of Equity (CAPM)</t>
  </si>
  <si>
    <t>Risk-Free Rate + (Beta × ERP)</t>
  </si>
  <si>
    <t>WACC (≈Cost of Equity)</t>
  </si>
  <si>
    <t>Minimal debt → WACC ≈ Cost of Equity</t>
  </si>
  <si>
    <t>Terminal Growth Rate</t>
  </si>
  <si>
    <t>Conservative: Japan GDP growth + 0.5%</t>
  </si>
  <si>
    <t>SECTION 6: MARKET DATA &amp; VALUATION INPUTS</t>
  </si>
  <si>
    <t>Market Metric</t>
  </si>
  <si>
    <t>Source / Note</t>
  </si>
  <si>
    <t>Current Share Price (¥)</t>
  </si>
  <si>
    <t>As of valuation date (update as needed)</t>
  </si>
  <si>
    <t>Shares Outstanding (thousands)</t>
  </si>
  <si>
    <t>Post 2-for-1 split (April 2024)</t>
  </si>
  <si>
    <t>Market Cap (¥M)</t>
  </si>
  <si>
    <t>Share Price × Shares Outstanding</t>
  </si>
  <si>
    <t>Net Cash / (Debt) (¥M)</t>
  </si>
  <si>
    <t>FY2025: Cash ¥162B - Debt ¥65B (estimate)</t>
  </si>
  <si>
    <t>Enterprise Value (¥M)</t>
  </si>
  <si>
    <t>Market Cap - Net Cash</t>
  </si>
  <si>
    <t>Beta (for Valuation links)</t>
  </si>
  <si>
    <t>Link to DCF section beta</t>
  </si>
  <si>
    <t>Dividend Yield %</t>
  </si>
  <si>
    <t>Based on ¥34/share dividend (post-split)</t>
  </si>
  <si>
    <t>FY2025 Revenue (¥M)</t>
  </si>
  <si>
    <t>Link to segment total</t>
  </si>
  <si>
    <t>CAPCOM CO., LTD. — CONSOLIDATED INCOME STATEMENT</t>
  </si>
  <si>
    <t>¥ millions | Fiscal Year ending March 31</t>
  </si>
  <si>
    <t>Line Item</t>
  </si>
  <si>
    <t>Net Sales</t>
  </si>
  <si>
    <t>YoY Growth</t>
  </si>
  <si>
    <t>Cost of Revenue</t>
  </si>
  <si>
    <t>Gross Profit</t>
  </si>
  <si>
    <t>SG&amp;A Expenses</t>
  </si>
  <si>
    <t>Operating Income</t>
  </si>
  <si>
    <t>Operating Margin %</t>
  </si>
  <si>
    <t>Non-Operating Income/(Expense)</t>
  </si>
  <si>
    <t>Pretax Income</t>
  </si>
  <si>
    <t>Income Tax Expense</t>
  </si>
  <si>
    <t>Net Income</t>
  </si>
  <si>
    <t>Net Margin %</t>
  </si>
  <si>
    <t>Depreciation &amp; Amortization</t>
  </si>
  <si>
    <t>EBITDA</t>
  </si>
  <si>
    <t>EBITDA Margin %</t>
  </si>
  <si>
    <t>CAPCOM FINANCIAL MODEL — COMPREHENSIVE EXPLANATIONS</t>
  </si>
  <si>
    <t>ASSUMPTIONS SHEET</t>
  </si>
  <si>
    <t>Section 1: Historical Data</t>
  </si>
  <si>
    <t>All historical data (FY2021-FY2025) sourced from:</t>
  </si>
  <si>
    <t>• Compiled Financials workbook (revenue, profits, balance sheet)</t>
  </si>
  <si>
    <t>• Integrated Report 2025 (unit sales, digital mix, catalog mix)</t>
  </si>
  <si>
    <t>• Company 10-K equivalent filings for Japan</t>
  </si>
  <si>
    <t>Section 2: Segment Projections</t>
  </si>
  <si>
    <t>Bottom-up revenue build by business segment:</t>
  </si>
  <si>
    <t>• Digital Contents: Based on unit sales × ASP, catalog retention analysis</t>
  </si>
  <si>
    <t xml:space="preserve">  - MH Wilds: 10.1M (FY25) → 15.5M (AY26) full-year sales</t>
  </si>
  <si>
    <t xml:space="preserve">  - RE Requiem: Conservative 4.5M first year, 6M lifetime</t>
  </si>
  <si>
    <t xml:space="preserve">  - Catalog: 79% of total, 78% retention rate</t>
  </si>
  <si>
    <t>• Arcade Operations: Inbound tourism recovery (45M visitors target)</t>
  </si>
  <si>
    <t xml:space="preserve">  - 4 new stores/year expansion, improving SSSG</t>
  </si>
  <si>
    <t>• Amusement Equipment: Smart Slot penetration driving growth</t>
  </si>
  <si>
    <t xml:space="preserve">  - RE Village units: 10,400 → 12,000/year</t>
  </si>
  <si>
    <t>• Other: eSports growth (SF6), licensing, Netflix anime deals</t>
  </si>
  <si>
    <t>Section 3: Unit Sales</t>
  </si>
  <si>
    <t>Detailed unit economic projections:</t>
  </si>
  <si>
    <t>• New Titles: Pipeline visibility (MH Wilds, RE Requiem)</t>
  </si>
  <si>
    <t>• Catalog: 78% retention from Complete Analysis</t>
  </si>
  <si>
    <t>• Digital Mix: 76.1% → 78% → 80% → 82% (trend analysis)</t>
  </si>
  <si>
    <t>• Physical: Declining as digital expands</t>
  </si>
  <si>
    <t>Section 4: Margins</t>
  </si>
  <si>
    <t>Profitability drivers:</t>
  </si>
  <si>
    <t>• Gross Margin: Digital mix expansion drives improvement</t>
  </si>
  <si>
    <t xml:space="preserve">  - Higher digital % = lower COGS (no manufacturing/distribution)</t>
  </si>
  <si>
    <t xml:space="preserve">  - Catalog scale economies</t>
  </si>
  <si>
    <t>• SG&amp;A: 19.5% assumption includes global expansion investments</t>
  </si>
  <si>
    <t xml:space="preserve">  - FY21-25 historical average: 18.3%</t>
  </si>
  <si>
    <t xml:space="preserve">  - Slightly elevated for marketing, localization</t>
  </si>
  <si>
    <t>• Tax Rate: 26% based on Japan corporate tax, FY21-25 avg: 26.2%</t>
  </si>
  <si>
    <t>Section 5: DCF Inputs</t>
  </si>
  <si>
    <t>Valuation parameters:</t>
  </si>
  <si>
    <t>• Risk-Free Rate: 1.0% (JGB 10-Year)</t>
  </si>
  <si>
    <t>• ERP: 5.5% (Japan market historical)</t>
  </si>
  <si>
    <t>• Beta: 1.40 (5-year vs TOPIX)</t>
  </si>
  <si>
    <t>• WACC ≈ Cost of Equity (minimal debt)</t>
  </si>
  <si>
    <t>• Terminal Growth: 2.5% (conservative)</t>
  </si>
  <si>
    <t>INCOME STATEMENT</t>
  </si>
  <si>
    <t>Formula Logic</t>
  </si>
  <si>
    <t>All projections formula-driven from Assumptions:</t>
  </si>
  <si>
    <t>• Revenue: =Assumptions sheet segment totals</t>
  </si>
  <si>
    <t>• COGS: =Revenue × (1 - Gross Margin%)</t>
  </si>
  <si>
    <t>• SG&amp;A: =Revenue × SG&amp;A%</t>
  </si>
  <si>
    <t>• Operating Income: =Gross Profit - SG&amp;A</t>
  </si>
  <si>
    <t>• Tax: =Pretax Income × Tax Rate</t>
  </si>
  <si>
    <t>• Net Income: =Pretax Income - Tax</t>
  </si>
  <si>
    <t>Color Coding</t>
  </si>
  <si>
    <t>Standard financial model conventions:</t>
  </si>
  <si>
    <t>• BLUE text: Hardcoded inputs (change for scenarios)</t>
  </si>
  <si>
    <t>• BLACK text: Formulas and calculations</t>
  </si>
  <si>
    <t>• GREEN text: Links to other sheets</t>
  </si>
  <si>
    <t>• YELLOW background: Key assumptions/alerts</t>
  </si>
  <si>
    <t>• Light BLUE background: Historical actuals</t>
  </si>
  <si>
    <t>• Light ORANGE background: Projections</t>
  </si>
  <si>
    <t>KEY ASSUMPTIONS SUMMARY</t>
  </si>
  <si>
    <t>Revenue CAGR</t>
  </si>
  <si>
    <t>FY25-AY28E: 9.9% (conservative vs 15.5% FY21-25)</t>
  </si>
  <si>
    <t>Operating Margin</t>
  </si>
  <si>
    <t>39.0-40.2% (vs 38.8% FY25)</t>
  </si>
  <si>
    <t>Unit Sales</t>
  </si>
  <si>
    <t>51.9M → 64.0M (+23% over 3 years)</t>
  </si>
  <si>
    <t>Digital Mix</t>
  </si>
  <si>
    <t>76.1% → 82.0% (ongoing shift)</t>
  </si>
  <si>
    <t>ROE Target</t>
  </si>
  <si>
    <t>Maintain &gt;20% (FY25: 23.0%)</t>
  </si>
  <si>
    <t>DATA SOURCES</t>
  </si>
  <si>
    <t>Primary</t>
  </si>
  <si>
    <t>• Capcom_Complete_Analysis.xlsx (segment buildup)</t>
  </si>
  <si>
    <t>• Compiled_Financials.xls (historical actuals)</t>
  </si>
  <si>
    <t>• Integrated Report 2025 (strategic metrics)</t>
  </si>
  <si>
    <t>Secondary</t>
  </si>
  <si>
    <t>• TSE market data (share price, beta)</t>
  </si>
  <si>
    <t>• Bloomberg/FactSet (consensus estimates)</t>
  </si>
  <si>
    <t>• Company guidance (FY26: ¥190B revenue)</t>
  </si>
  <si>
    <t>VALIDATION CHECKS</t>
  </si>
  <si>
    <t>Reasonableness</t>
  </si>
  <si>
    <t>✓ Revenue growth decelerating (15.5% → 9.9% CAGR)</t>
  </si>
  <si>
    <t>✓ Margins stable/improving (digital mix benefit)</t>
  </si>
  <si>
    <t>✓ Unit sales below 100M target (64M = 64% of goal)</t>
  </si>
  <si>
    <t>✓ Tax rate aligned with Japan corporate rate</t>
  </si>
  <si>
    <t>Consistency</t>
  </si>
  <si>
    <t>✓ Segment totals = Consolidated revenue</t>
  </si>
  <si>
    <t>✓ New + Catalog units = Total units</t>
  </si>
  <si>
    <t>✓ Digital + Physical units = Total units</t>
  </si>
  <si>
    <t>✓ Implied margins match input assumptions</t>
  </si>
  <si>
    <t>Cross-checks</t>
  </si>
  <si>
    <t>✓ FY26 projection aligns with mgmt guidance (¥190B)</t>
  </si>
  <si>
    <t>✓ Growth rates align with Complete Analysis</t>
  </si>
  <si>
    <t>✓ Unit economics consistent with historical</t>
  </si>
  <si>
    <t>CAPCOM CO., LTD. — Consolidated Balance Sheet</t>
  </si>
  <si>
    <t>¥ millions | As of March 31</t>
  </si>
  <si>
    <t>ASSETS</t>
  </si>
  <si>
    <t>Cash &amp; Cash Equivalents</t>
  </si>
  <si>
    <t>Other Current Assets</t>
  </si>
  <si>
    <t>Total Current Assets</t>
  </si>
  <si>
    <t>PP&amp;E, net</t>
  </si>
  <si>
    <t>Intangible Assets &amp; Goodwill</t>
  </si>
  <si>
    <t>Other Non-Current Assets</t>
  </si>
  <si>
    <t>Total Non-Current Assets</t>
  </si>
  <si>
    <t>TOTAL ASSETS</t>
  </si>
  <si>
    <t>LIABILITIES &amp; EQUITY</t>
  </si>
  <si>
    <t>Total Current Liabilities</t>
  </si>
  <si>
    <t>Total Non-Current Liabilities</t>
  </si>
  <si>
    <t>Total Liabilities</t>
  </si>
  <si>
    <t>Total Equity</t>
  </si>
  <si>
    <t>TOTAL LIABILITIES &amp; EQUITY</t>
  </si>
  <si>
    <t>KEY RATIOS</t>
  </si>
  <si>
    <t>Equity Ratio</t>
  </si>
  <si>
    <t>Net Cash (Cash - Total Debt)</t>
  </si>
  <si>
    <t>ROE</t>
  </si>
  <si>
    <t>CAPCOM CO., LTD. — Cash Flow Statement</t>
  </si>
  <si>
    <t>FY2026E</t>
  </si>
  <si>
    <t>FY2027E</t>
  </si>
  <si>
    <t>FY2028E</t>
  </si>
  <si>
    <t>Operating Cash Flow</t>
  </si>
  <si>
    <t>Capital Expenditures</t>
  </si>
  <si>
    <t>Other Investing Activities</t>
  </si>
  <si>
    <t>Investing Cash Flow</t>
  </si>
  <si>
    <t>Dividends Paid</t>
  </si>
  <si>
    <t>Debt Repayment / Other Financing</t>
  </si>
  <si>
    <t>Financing Cash Flow</t>
  </si>
  <si>
    <t>Free Cash Flow (OCF - CapEx)</t>
  </si>
  <si>
    <t xml:space="preserve">  FCF Margin</t>
  </si>
  <si>
    <t>Net Change in Cash</t>
  </si>
  <si>
    <t>CAPCOM CO., LTD. — Valuation</t>
  </si>
  <si>
    <t>¥ millions unless noted</t>
  </si>
  <si>
    <t>DISCOUNTED CASH FLOW (DCF)</t>
  </si>
  <si>
    <t>Terminal</t>
  </si>
  <si>
    <t>Free Cash Flow</t>
  </si>
  <si>
    <t>Terminal Value</t>
  </si>
  <si>
    <t>WACC</t>
  </si>
  <si>
    <t>Discount Factor</t>
  </si>
  <si>
    <t>PV of Cash Flows</t>
  </si>
  <si>
    <t>Sum of PV (FCFs)</t>
  </si>
  <si>
    <t>PV of Terminal Value</t>
  </si>
  <si>
    <t>Enterprise Value (DCF)</t>
  </si>
  <si>
    <t>(+) Net Cash</t>
  </si>
  <si>
    <t>Equity Value (DCF)</t>
  </si>
  <si>
    <t>Implied Share Price (¥)</t>
  </si>
  <si>
    <t>Current Price (¥)</t>
  </si>
  <si>
    <t>Upside / (Downside)</t>
  </si>
  <si>
    <t>TRADING MULTIPLES ANALYSIS</t>
  </si>
  <si>
    <t>EV / EBITDA</t>
  </si>
  <si>
    <t>EV / EBIT (Operating Income)</t>
  </si>
  <si>
    <t>P/E Ratio</t>
  </si>
  <si>
    <t>P / FCF</t>
  </si>
  <si>
    <t>Dividend Yield</t>
  </si>
  <si>
    <t>PEER COMPARISON (FY2025/LTM)</t>
  </si>
  <si>
    <t>Company</t>
  </si>
  <si>
    <t>EV/EBITDA</t>
  </si>
  <si>
    <t>P/E</t>
  </si>
  <si>
    <t>Op. Margin</t>
  </si>
  <si>
    <t>Rev Growth</t>
  </si>
  <si>
    <t>Capcom (9697)</t>
  </si>
  <si>
    <t>Nintendo (7974)</t>
  </si>
  <si>
    <t>Square Enix (9684)</t>
  </si>
  <si>
    <t>Konami (9766)</t>
  </si>
  <si>
    <t>Bandai Namco (7832)</t>
  </si>
  <si>
    <t>EA (NASDAQ)</t>
  </si>
  <si>
    <t>Peer Average (excl. Capcom)</t>
  </si>
  <si>
    <t>IMPLIED PRICE FROM PEER MULTIPLES</t>
  </si>
  <si>
    <t>At Peer Avg EV/EBITDA → EV</t>
  </si>
  <si>
    <t xml:space="preserve">  → Equity Value</t>
  </si>
  <si>
    <t xml:space="preserve">  → Implied Share Price (¥)</t>
  </si>
  <si>
    <t>At Peer Avg P/E → Market Cap</t>
  </si>
  <si>
    <t>CAPCOM VALUATION METHODOLOGY</t>
  </si>
  <si>
    <t>Detailed explanation of valuation techniques with updated assumptions</t>
  </si>
  <si>
    <t>1. VALUATION APPROACH OVERVIEW</t>
  </si>
  <si>
    <t>Valuation Method</t>
  </si>
  <si>
    <t>Purpose</t>
  </si>
  <si>
    <t>Weight</t>
  </si>
  <si>
    <t>Rationale</t>
  </si>
  <si>
    <t>Discounted Cash Flow (DCF)</t>
  </si>
  <si>
    <t>Intrinsic value from future cash flows</t>
  </si>
  <si>
    <t>50%</t>
  </si>
  <si>
    <t>Stable, profitable company with predictable FCF</t>
  </si>
  <si>
    <t>Comparable Companies</t>
  </si>
  <si>
    <t>Relative value vs. peers</t>
  </si>
  <si>
    <t>30%</t>
  </si>
  <si>
    <t>Validates DCF against market pricing</t>
  </si>
  <si>
    <t>Scenario Analysis</t>
  </si>
  <si>
    <t>Risk-adjusted range</t>
  </si>
  <si>
    <t>20%</t>
  </si>
  <si>
    <t>Captures game release uncertainty</t>
  </si>
  <si>
    <t>2. WACC CALCULATION (UPDATED)</t>
  </si>
  <si>
    <t>Component</t>
  </si>
  <si>
    <t>Source</t>
  </si>
  <si>
    <t>Risk-Free Rate (Rf)</t>
  </si>
  <si>
    <t>1.0%</t>
  </si>
  <si>
    <t>JGB 10-Year yield</t>
  </si>
  <si>
    <t>5.5%</t>
  </si>
  <si>
    <t>Japan historical ERP</t>
  </si>
  <si>
    <t>Beta (β)</t>
  </si>
  <si>
    <t>1.40</t>
  </si>
  <si>
    <t>Bloomberg 5Y monthly vs TOPIX (updated)</t>
  </si>
  <si>
    <t>8.7%</t>
  </si>
  <si>
    <t>Ke = 1.0% + 1.40 × 5.5%</t>
  </si>
  <si>
    <t>Net cash position → WACC ≈ Ke</t>
  </si>
  <si>
    <t>3. REVENUE PROJECTION METHODOLOGY</t>
  </si>
  <si>
    <t>Segment</t>
  </si>
  <si>
    <t>AY26E Projection</t>
  </si>
  <si>
    <t>Key Driver</t>
  </si>
  <si>
    <t>Digital Contents</t>
  </si>
  <si>
    <t>¥141B (+12.7%)</t>
  </si>
  <si>
    <t>MH Wilds DLC + RE Requiem launch + catalog</t>
  </si>
  <si>
    <t>Arcade Operations</t>
  </si>
  <si>
    <t>¥24.5B (+7.7%)</t>
  </si>
  <si>
    <t>Inbound tourism recovery, 4 new stores/yr</t>
  </si>
  <si>
    <t>Amusement Equipment</t>
  </si>
  <si>
    <t>¥17.5B (+12.1%)</t>
  </si>
  <si>
    <t>Smart Slot penetration, RE Village units</t>
  </si>
  <si>
    <t>Other Businesses</t>
  </si>
  <si>
    <t>¥7.0B (+14.5%)</t>
  </si>
  <si>
    <t>SF6 eSports + IP licensing expansion</t>
  </si>
  <si>
    <t>TOTAL</t>
  </si>
  <si>
    <t>¥190B (+12.0%)</t>
  </si>
  <si>
    <t>Bottom-up segment buildup</t>
  </si>
  <si>
    <t>4. UNIT SALES ASSUMPTIONS</t>
  </si>
  <si>
    <t>Category</t>
  </si>
  <si>
    <t>FY25A</t>
  </si>
  <si>
    <t>New Titles</t>
  </si>
  <si>
    <t>12.4M</t>
  </si>
  <si>
    <t>16.2M</t>
  </si>
  <si>
    <t>MH Wilds full year + RE Requiem</t>
  </si>
  <si>
    <t>Catalog Titles</t>
  </si>
  <si>
    <t>39.5M</t>
  </si>
  <si>
    <t>37.8M</t>
  </si>
  <si>
    <t>78% retention rate applied</t>
  </si>
  <si>
    <t>76.1%</t>
  </si>
  <si>
    <t>78%</t>
  </si>
  <si>
    <t>Continued digital transition</t>
  </si>
  <si>
    <t>Total Units</t>
  </si>
  <si>
    <t>51.9M</t>
  </si>
  <si>
    <t>54.0M</t>
  </si>
  <si>
    <t>Path to 100M unit target</t>
  </si>
  <si>
    <t>5. PROFITABILITY ASSUMPTIONS</t>
  </si>
  <si>
    <t>Driver</t>
  </si>
  <si>
    <t>Gross Margin</t>
  </si>
  <si>
    <t>58.2%</t>
  </si>
  <si>
    <t>58.5%</t>
  </si>
  <si>
    <t>Digital mix expansion (76%→78%)</t>
  </si>
  <si>
    <t>SG&amp;A %</t>
  </si>
  <si>
    <t>19.4%</t>
  </si>
  <si>
    <t>19.5%</t>
  </si>
  <si>
    <t>Marketing investment (FY21-25 avg: 18.3%)</t>
  </si>
  <si>
    <t>38.8%</t>
  </si>
  <si>
    <t>39.0%</t>
  </si>
  <si>
    <t>Scale leverage + catalog efficiency</t>
  </si>
  <si>
    <t>Tax Rate</t>
  </si>
  <si>
    <t>26.3%</t>
  </si>
  <si>
    <t>26.0%</t>
  </si>
  <si>
    <t>Japan corporate tax rate</t>
  </si>
  <si>
    <t>6. DCF VALUATION FORMULA</t>
  </si>
  <si>
    <t>Enterprise Value = Σ [FCFt / (1 + WACC)^t] + Terminal Value / (1 + WACC)^n
Where:
• FCF = Net Income + D&amp;A - CapEx - ΔNWC (simplified: from Cash Flow sheet)
• WACC = 8.7% (Cost of Equity, minimal debt)
• Terminal Value = Final Year FCF × (1 + g) / (WACC - g)
• g = 2.5% (terminal growth rate)
Equity Value = Enterprise Value + Net Cash (¥97B)
Implied Share Price = Equity Value × 1000 / Shares Outstanding (533M)</t>
  </si>
  <si>
    <t>7. KEY ASSUMPTIONS &amp; RISKS</t>
  </si>
  <si>
    <t>Assumption</t>
  </si>
  <si>
    <t>Base Case</t>
  </si>
  <si>
    <t>Risk</t>
  </si>
  <si>
    <t>Mitigant</t>
  </si>
  <si>
    <t>Revenue Growth</t>
  </si>
  <si>
    <t>12% FY26E</t>
  </si>
  <si>
    <t>MH Wilds DLC underperforms</t>
  </si>
  <si>
    <t>Catalog provides floor; RE Requiem diversifies</t>
  </si>
  <si>
    <t>39%</t>
  </si>
  <si>
    <t>Marketing costs increase</t>
  </si>
  <si>
    <t>83%+ digital mix supports margins</t>
  </si>
  <si>
    <t>Beta</t>
  </si>
  <si>
    <t>Volatility increases</t>
  </si>
  <si>
    <t>Net cash reduces financial risk</t>
  </si>
  <si>
    <t>Terminal Growth</t>
  </si>
  <si>
    <t>2.5%</t>
  </si>
  <si>
    <t>Japan market matures faster</t>
  </si>
  <si>
    <t>Conservative vs industry 7-12% CAGR</t>
  </si>
  <si>
    <t>SENSITIVITY ANALYSIS</t>
  </si>
  <si>
    <t>Implied Share Price under different WACC / Terminal Growth scenarios</t>
  </si>
  <si>
    <t>Terminal Growth ↓ / WACC →</t>
  </si>
  <si>
    <t>SCENARIO ANALYSIS</t>
  </si>
  <si>
    <t>Scenario</t>
  </si>
  <si>
    <t>Op Margin</t>
  </si>
  <si>
    <t>Implied EPS (¥)</t>
  </si>
  <si>
    <t>At 25x P/E → Price (¥)</t>
  </si>
  <si>
    <t>Bear Case</t>
  </si>
  <si>
    <t>Bull Case</t>
  </si>
  <si>
    <t>CAPCOM — Game Unit Sales &amp; Franchise Analysis</t>
  </si>
  <si>
    <t>Units in millions unless noted</t>
  </si>
  <si>
    <t>Notes</t>
  </si>
  <si>
    <t>TOTAL UNIT SALES</t>
  </si>
  <si>
    <t xml:space="preserve">  Catalog as % of Total</t>
  </si>
  <si>
    <t>FY2026 TRACKING (9M ended Dec 2025)</t>
  </si>
  <si>
    <t>9M Total Units (actual)</t>
  </si>
  <si>
    <t>Record 9M total &amp; catalog</t>
  </si>
  <si>
    <t>9M Catalog Units (actual)</t>
  </si>
  <si>
    <t>9M New Title Units (actual)</t>
  </si>
  <si>
    <t>KEY FRANCHISE CUMULATIVE SALES (M units)</t>
  </si>
  <si>
    <t>Monster Hunter series</t>
  </si>
  <si>
    <t>&gt;100M</t>
  </si>
  <si>
    <t>MH Wilds: 11M+ at Q3 FY26</t>
  </si>
  <si>
    <t>Resident Evil series</t>
  </si>
  <si>
    <t>&gt;160M</t>
  </si>
  <si>
    <t>RE Requiem: Feb 27, 2026 launch</t>
  </si>
  <si>
    <t>Street Fighter series</t>
  </si>
  <si>
    <t>&gt;54M</t>
  </si>
  <si>
    <t>SF6: &gt;6M units, Switch 2 upside</t>
  </si>
  <si>
    <t>Devil May Cry series</t>
  </si>
  <si>
    <t>&gt;32M</t>
  </si>
  <si>
    <t>DMC5: &gt;10M (Netflix anime boost)</t>
  </si>
  <si>
    <t>Mega Man series</t>
  </si>
  <si>
    <t>&gt;40M</t>
  </si>
  <si>
    <t>MMBN Legacy Collection performing well</t>
  </si>
  <si>
    <t>Dragon's Dogma series</t>
  </si>
  <si>
    <t>&gt;11M</t>
  </si>
  <si>
    <t>DD2 catalog potential</t>
  </si>
  <si>
    <t>Ace Attorney series</t>
  </si>
  <si>
    <t>&gt;12M</t>
  </si>
  <si>
    <t>New collection released FY26</t>
  </si>
  <si>
    <t>CAPCOM (TSE: 9697) — BUSINESS &amp; INDUSTRY ANALYSIS</t>
  </si>
  <si>
    <t>COMPETITIVE MOAT ANALYSIS</t>
  </si>
  <si>
    <t>Moat Factor</t>
  </si>
  <si>
    <t>Strength (1-5)</t>
  </si>
  <si>
    <t>Evidence</t>
  </si>
  <si>
    <t>Peer Avg</t>
  </si>
  <si>
    <t>Moat Width</t>
  </si>
  <si>
    <t>Durability</t>
  </si>
  <si>
    <t>IP Portfolio Depth</t>
  </si>
  <si>
    <t>8 franchises with 10M+ cumulative sales; RE 160M+, MH 100M+, SF 54M+</t>
  </si>
  <si>
    <t>Wide</t>
  </si>
  <si>
    <t>10+ years</t>
  </si>
  <si>
    <t>Proprietary RE Engine</t>
  </si>
  <si>
    <t>In-house engine; 10+ yrs dev; multi-platform; cost advantage vs Unreal/Unity licensing</t>
  </si>
  <si>
    <t>Brand Recognition</t>
  </si>
  <si>
    <t>40+ yr heritage; cultural icons (Ryu, Leon, Rathalos); global awareness</t>
  </si>
  <si>
    <t>Digital Distribution (93% digital)</t>
  </si>
  <si>
    <t>230+ countries; zero marginal cost; infinite shelf life; catalog flywheel</t>
  </si>
  <si>
    <t>5-10 years</t>
  </si>
  <si>
    <t>Development Talent Retention</t>
  </si>
  <si>
    <t>Osaka hub consolidation; 52.2% avg salary increase since 2021; 3,766 employees</t>
  </si>
  <si>
    <t>Moderate</t>
  </si>
  <si>
    <t>Cross-Media Monetization</t>
  </si>
  <si>
    <t>Netflix DMC anime → DMC5 sales revival; RE films/TV; MH movie; merchandise</t>
  </si>
  <si>
    <t>Switching Costs (Franchise Loyalty)</t>
  </si>
  <si>
    <t>MH community 100M+ strong; SF esports ecosystem; RE fandom spans 28 years</t>
  </si>
  <si>
    <t>Economies of Scale</t>
  </si>
  <si>
    <t>RE Engine shared across all titles; R&amp;D amortized over 50M+ annual units</t>
  </si>
  <si>
    <t>Overall Moat Score</t>
  </si>
  <si>
    <t>Out of 5.0 — Wide Moat</t>
  </si>
  <si>
    <t>MANAGEMENT QUALITY ASSESSMENT</t>
  </si>
  <si>
    <t>Trend</t>
  </si>
  <si>
    <t>Return on Equity (ROE)</t>
  </si>
  <si>
    <t>↑ Improving</t>
  </si>
  <si>
    <t>Return on Assets (ROA)</t>
  </si>
  <si>
    <t>↑ Stable-High</t>
  </si>
  <si>
    <t>↑ Expanding</t>
  </si>
  <si>
    <t>Revenue per Employee (¥M)</t>
  </si>
  <si>
    <t>↑ Strong</t>
  </si>
  <si>
    <t>Consecutive Record Profits</t>
  </si>
  <si>
    <t>↑ 12 years</t>
  </si>
  <si>
    <t>Dividend Payout Ratio</t>
  </si>
  <si>
    <t>→ Consistent 30%</t>
  </si>
  <si>
    <t>Share Buyback (¥B)</t>
  </si>
  <si>
    <t>New in FY25</t>
  </si>
  <si>
    <t>Insider Ownership</t>
  </si>
  <si>
    <t>→ Aligned 22.7%</t>
  </si>
  <si>
    <t>Management Score</t>
  </si>
  <si>
    <t>9/10</t>
  </si>
  <si>
    <t>Founder-led, skin-in-game (22.7%), 12yr record streak, disciplined capital allocation</t>
  </si>
  <si>
    <t>GAMING INDUSTRY &amp; SECTOR GROWTH</t>
  </si>
  <si>
    <t>2024A</t>
  </si>
  <si>
    <t>2025E</t>
  </si>
  <si>
    <t>2026E</t>
  </si>
  <si>
    <t>2027E</t>
  </si>
  <si>
    <t>Global Gaming Revenue ($B)</t>
  </si>
  <si>
    <t>Newzoo 2025</t>
  </si>
  <si>
    <t>Global Gaming CAGR</t>
  </si>
  <si>
    <t>Newzoo (2025-28)</t>
  </si>
  <si>
    <t>Console Segment CAGR</t>
  </si>
  <si>
    <t>PC Segment CAGR</t>
  </si>
  <si>
    <t>Console+PC TAM ($B)</t>
  </si>
  <si>
    <t>Capcom IR 2025</t>
  </si>
  <si>
    <t>Capcom Market Share (Console+PC)</t>
  </si>
  <si>
    <t>Derived</t>
  </si>
  <si>
    <t>Japan Gaming Sector Index YoY</t>
  </si>
  <si>
    <t>TSE</t>
  </si>
  <si>
    <t>Digital Sales % of Industry</t>
  </si>
  <si>
    <t>Industry est.</t>
  </si>
  <si>
    <t>Capcom Digital Sales %</t>
  </si>
  <si>
    <t>Capcom IR</t>
  </si>
  <si>
    <t>Key Insight</t>
  </si>
  <si>
    <t>Capcom grows at 2-3x industry rate. Console+PC (Capcom's sweet spot) is fastest growing segment at 4.7% CAGR, well above mobile. Digital shift near-complete for Capcom (93%) = structurally higher margins than peers.</t>
  </si>
  <si>
    <t>ECONOMIES OF SCALE &amp; OPERATING LEVERAGE</t>
  </si>
  <si>
    <t>Interpretation</t>
  </si>
  <si>
    <t>Revenue (¥B)</t>
  </si>
  <si>
    <t>+99% rev growth</t>
  </si>
  <si>
    <t>R&amp;D Investment (¥B)</t>
  </si>
  <si>
    <t>+108% R&amp;D</t>
  </si>
  <si>
    <t>Operating Income (¥B)</t>
  </si>
  <si>
    <t>+70% OP — less than rev growth</t>
  </si>
  <si>
    <t>Units Sold (M)</t>
  </si>
  <si>
    <t>+81% volume</t>
  </si>
  <si>
    <t>Rev per Unit (¥)</t>
  </si>
  <si>
    <t>Stable pricing power</t>
  </si>
  <si>
    <t>Op. Income per Unit (¥)</t>
  </si>
  <si>
    <t>Scale benefit: fixed cost dilution</t>
  </si>
  <si>
    <t>R&amp;D as % of Revenue</t>
  </si>
  <si>
    <t>Stable ~30% despite expansion</t>
  </si>
  <si>
    <t>Headcount</t>
  </si>
  <si>
    <t>+25% over 4 years</t>
  </si>
  <si>
    <t>+60% productivity gain</t>
  </si>
  <si>
    <t>Catalog Units (M)</t>
  </si>
  <si>
    <t>+114% — near-zero marginal cost</t>
  </si>
  <si>
    <t>Catalog % of Total Sales</t>
  </si>
  <si>
    <t>↑ recurring revenue flywheel</t>
  </si>
  <si>
    <t>Scale Conclusion</t>
  </si>
  <si>
    <t>Strong operating leverage: Revenue +99% vs OpInc +70% since FY21 shows margin expansion from scale. Catalog flywheel (74% of units) generates near-100% gross margin incremental revenue. RE Engine amortization shared across all titles.</t>
  </si>
  <si>
    <t>BUSINESS CYCLE POSITIONING</t>
  </si>
  <si>
    <t>Factor</t>
  </si>
  <si>
    <t>Assessment</t>
  </si>
  <si>
    <t>Detail</t>
  </si>
  <si>
    <t>Cyclicality Classification</t>
  </si>
  <si>
    <t>Defensive-Growth Hybrid</t>
  </si>
  <si>
    <t>Entertainment spending resilient; gaming outperforms cinema/music in downturns</t>
  </si>
  <si>
    <t>0.58</t>
  </si>
  <si>
    <t>Well below market (1.0); stock less volatile than broader index</t>
  </si>
  <si>
    <t>Revenue Sensitivity to GDP</t>
  </si>
  <si>
    <t>Low</t>
  </si>
  <si>
    <t>Gaming is a low-cost entertainment option; "stay-at-home" beneficiary in recessions</t>
  </si>
  <si>
    <t>Hit-Driven Volatility</t>
  </si>
  <si>
    <t>Earnings lumpy around major releases (MH, RE cycles); but catalog smooths this</t>
  </si>
  <si>
    <t>Catalog Buffer Effect</t>
  </si>
  <si>
    <t>Strong</t>
  </si>
  <si>
    <t>68-74% of units from catalog = stable recurring base regardless of new releases</t>
  </si>
  <si>
    <t>Margin Cyclicality</t>
  </si>
  <si>
    <t>Operating margin range 34-39% over 5 years; no major contractions</t>
  </si>
  <si>
    <t>Balance Sheet Strength</t>
  </si>
  <si>
    <t>Fortress</t>
  </si>
  <si>
    <t>¥97B net cash; 72% equity ratio; zero need for external financing through cycles</t>
  </si>
  <si>
    <t>Current Cycle Phase</t>
  </si>
  <si>
    <t>Mid-Cycle Expansion</t>
  </si>
  <si>
    <t>Console gen 9 (PS5/XSX) maturing; Switch 2 launch = new expansion catalyst</t>
  </si>
  <si>
    <t>Cycle Conclusion</t>
  </si>
  <si>
    <t>NOT a pure cyclical — Beta 0.58, fortress balance sheet, and catalog-driven recurring revenue make Capcom defensive-growth. Margin watching less critical than for typical cyclicals. Current console cycle mid-expansion with Switch 2 providing incremental tailwind.</t>
  </si>
  <si>
    <t>CAPCOM (TSE: 9697) — INVESTMENT THESIS &amp; VARIANT VIEW</t>
  </si>
  <si>
    <t>VARIANT VIEW: WHY THE MARKET IS WRONG</t>
  </si>
  <si>
    <t>Market Concern</t>
  </si>
  <si>
    <t>Consensus View</t>
  </si>
  <si>
    <t>Our View</t>
  </si>
  <si>
    <t>Impact</t>
  </si>
  <si>
    <t>MH Wilds Launch Issues</t>
  </si>
  <si>
    <t>MH Wilds underperformed expectations; franchise may be peaking</t>
  </si>
  <si>
    <t>Temporary bug/performance issues, not demand failure — 11M units in &lt;1 month proves TAM expansion</t>
  </si>
  <si>
    <t>Fastest-selling Capcom game ever; ¥6.4B deferred revenue for DLC/updates; MH World recovered similarly post-launch</t>
  </si>
  <si>
    <t>HIGH — stock overreacted 27% from peak</t>
  </si>
  <si>
    <t>Post-Peak Earnings Fear</t>
  </si>
  <si>
    <t>FY2025 was the cycle top; growth will slow meaningfully</t>
  </si>
  <si>
    <t>FY2026 guided at 13th consecutive record; RE Requiem + catalog + pachislo provide multi-year visibility</t>
  </si>
  <si>
    <t>Company guidance: ¥190B rev / ¥73B OP; 9M results tracking ahead with ¥115.3B rev (61% of FY); COO says "progressing very smoothly"</t>
  </si>
  <si>
    <t>HIGH — consensus EPS ¥130 has upside risk</t>
  </si>
  <si>
    <t>Japan Gaming Sector Weakness</t>
  </si>
  <si>
    <t>Japanese gaming stocks derated broadly; sector rotation out</t>
  </si>
  <si>
    <t>Capcom is being sold on sector beta, not fundamentals — creating opportunity</t>
  </si>
  <si>
    <t>Japan gaming index -8% while Capcom earnings +15%; Capcom margins 2x peer average; decoupling from weaker peers like Square Enix</t>
  </si>
  <si>
    <t>MEDIUM — sentiment will catch up to fundamentals</t>
  </si>
  <si>
    <t>Valuation Premium Justified?</t>
  </si>
  <si>
    <t>Capcom trades at 33x P/E vs peer avg 25x — too expensive</t>
  </si>
  <si>
    <t>Premium warranted: 2x industry margin, 12yr record streak, zero debt, 93% digital</t>
  </si>
  <si>
    <t>Capcom ROE 25% vs peer avg 12%; 3yr EPS CAGR 28% vs peer 8%; catalog model = more recurring than peers</t>
  </si>
  <si>
    <t>MEDIUM — multiple compression overdone</t>
  </si>
  <si>
    <t>Catalog Growth Sustainability</t>
  </si>
  <si>
    <t>Catalog sales will plateau as library ages</t>
  </si>
  <si>
    <t>Catalog accelerating, not decelerating — cross-media (Netflix, films) and new platforms drive rediscovery</t>
  </si>
  <si>
    <t>Catalog units: 20M→25M→36M→43M(E) over 4 years; DMC5 hit 10M+ after Netflix anime; Switch 2 ports = fresh catalog wave</t>
  </si>
  <si>
    <t>HIGH — market undervalues recurring revenue</t>
  </si>
  <si>
    <t>STOCK PRICE DRIVER ANALYSIS — WHAT MOVES CAPCOM?</t>
  </si>
  <si>
    <t>Driver Category</t>
  </si>
  <si>
    <t>Importance (1-5)</t>
  </si>
  <si>
    <t>Current Signal</t>
  </si>
  <si>
    <t>Direction</t>
  </si>
  <si>
    <t>Key Metric to Watch</t>
  </si>
  <si>
    <t>EPS Revisions</t>
  </si>
  <si>
    <t>Positive — Q2 beat by 11%; 9M tracking ahead of full-year</t>
  </si>
  <si>
    <t>Bullish ↑</t>
  </si>
  <si>
    <t>FY2026 OP consensus vs ¥73B guidance</t>
  </si>
  <si>
    <t>Title Launch Success</t>
  </si>
  <si>
    <t>RE Requiem Feb 27 — 2M+ Steam wishlists; MH Wilds DLC pipeline</t>
  </si>
  <si>
    <t>RE9 first-week sales; MH Wilds DLC attach rate</t>
  </si>
  <si>
    <t>Revenue / Unit Sales Growth</t>
  </si>
  <si>
    <t>9M: 40.5M units (record); on track for 55M+ FY2026</t>
  </si>
  <si>
    <t>Quarterly unit sales disclosure</t>
  </si>
  <si>
    <t>Narrative Change</t>
  </si>
  <si>
    <t>Currently: "Japan gaming sector sell-off"; Needs to shift to: "best-in-class compounder"</t>
  </si>
  <si>
    <t>Neutral →</t>
  </si>
  <si>
    <t>Sector rotation signals; analyst upgrade cycle</t>
  </si>
  <si>
    <t>Market Sentiment / Risk-On</t>
  </si>
  <si>
    <t>Global risk appetite moderate; Japan gaming derated</t>
  </si>
  <si>
    <t>Nikkei 225; Japan small-cap growth flows</t>
  </si>
  <si>
    <t>Incremental Info (News Flow)</t>
  </si>
  <si>
    <t>RE Requiem reviews Feb 27; Nintendo Direct (Switch 2); MH Wilds patch cycle</t>
  </si>
  <si>
    <t>Metacritic scores; Steam concurrent players</t>
  </si>
  <si>
    <t>Policy / Macro</t>
  </si>
  <si>
    <t>JPY weakness benefits overseas earnings; BoJ rate path uncertain</t>
  </si>
  <si>
    <t>USD/JPY; BoJ policy decisions</t>
  </si>
  <si>
    <t>Consumer Confidence</t>
  </si>
  <si>
    <t>Gaming spending resilient; digital shift reduces price sensitivity</t>
  </si>
  <si>
    <t>Global consumer confidence indices</t>
  </si>
  <si>
    <t>PRIMARY DRIVER</t>
  </si>
  <si>
    <t>EPS revisions + Title launch success drive 70%+ of price action. Focus: RE Requiem sales data (Feb 27+), FY2026 guidance upgrade potential (May 2026), MH Wilds DLC revenue realization.</t>
  </si>
  <si>
    <t>ORGANIC GROWTH DECOMPOSITION — SHORT-TERM vs LONG-TERM</t>
  </si>
  <si>
    <t>Growth Driver</t>
  </si>
  <si>
    <t>Timeframe</t>
  </si>
  <si>
    <t>Revenue Impact (¥B)</t>
  </si>
  <si>
    <t>Probability</t>
  </si>
  <si>
    <t>Status</t>
  </si>
  <si>
    <t>SHORT-TERM CATALYSTS (0-12 months)</t>
  </si>
  <si>
    <t>RE Requiem launch (Feb 27, 2026)</t>
  </si>
  <si>
    <t>0-3 months</t>
  </si>
  <si>
    <t>15-25</t>
  </si>
  <si>
    <t>90%</t>
  </si>
  <si>
    <t>2M+ Steam wishlists; RE franchise never misses</t>
  </si>
  <si>
    <t>MH Wilds DLC / Title Updates</t>
  </si>
  <si>
    <t>3-12 months</t>
  </si>
  <si>
    <t>5-15</t>
  </si>
  <si>
    <t>85%</t>
  </si>
  <si>
    <t>¥6.4B deferred revenue on balance sheet; update roadmap announced</t>
  </si>
  <si>
    <t>Street Fighter 6 Switch 2 launch</t>
  </si>
  <si>
    <t>3-6 months</t>
  </si>
  <si>
    <t>3-5</t>
  </si>
  <si>
    <t>80%</t>
  </si>
  <si>
    <t>Switch 2 announced June 2025; SF6 confirmed for platform</t>
  </si>
  <si>
    <t>Catalog sales momentum</t>
  </si>
  <si>
    <t>Ongoing</t>
  </si>
  <si>
    <t>8-12</t>
  </si>
  <si>
    <t>95%</t>
  </si>
  <si>
    <t>9M record 33.4M catalog units; DMC5, DD2, RE Village all accelerating</t>
  </si>
  <si>
    <t>Pachislo/Amusement Equipment surge</t>
  </si>
  <si>
    <t>0-12 months</t>
  </si>
  <si>
    <t>5-10</t>
  </si>
  <si>
    <t>9M equipment revenue +74% YoY; operating profit +353%</t>
  </si>
  <si>
    <t>LONG-TERM STRUCTURAL DRIVERS (1-5 years)</t>
  </si>
  <si>
    <t>100M annual unit sales target (COO KPI)</t>
  </si>
  <si>
    <t>3-5 years</t>
  </si>
  <si>
    <t>30-50</t>
  </si>
  <si>
    <t>60%</t>
  </si>
  <si>
    <t>Currently 52M→58M trajectory; requires IP expansion + new markets</t>
  </si>
  <si>
    <t>New dev facility (Osaka, completion 2027)</t>
  </si>
  <si>
    <t>2-3 years</t>
  </si>
  <si>
    <t>10-20</t>
  </si>
  <si>
    <t>75%</t>
  </si>
  <si>
    <t>¥9.0B investment; enables larger parallel dev teams</t>
  </si>
  <si>
    <t>Non-core IP revival (MegaMan, Ace Attorney, DMC)</t>
  </si>
  <si>
    <t>1-3 years</t>
  </si>
  <si>
    <t>70%</t>
  </si>
  <si>
    <t>COO explicitly named these IPs in 2025 Integrated Report</t>
  </si>
  <si>
    <t>Cross-media flywheel expansion</t>
  </si>
  <si>
    <t>1-5 years</t>
  </si>
  <si>
    <t>3-8</t>
  </si>
  <si>
    <t>65%</t>
  </si>
  <si>
    <t>Netflix DMC success; RE films/TV; potential MH animated series</t>
  </si>
  <si>
    <t>Emerging market penetration</t>
  </si>
  <si>
    <t>2-5 years</t>
  </si>
  <si>
    <t>55%</t>
  </si>
  <si>
    <t>Digital distribution enables 230+ countries; APAC/LATAM growth</t>
  </si>
  <si>
    <t>10%+ annual OP growth KPI (management target)</t>
  </si>
  <si>
    <t>Perpetual</t>
  </si>
  <si>
    <t>12 consecutive years achieved; culture of continuous improvement</t>
  </si>
  <si>
    <t>HOW CONSENSUS CONVERGES TO OUR VIEW</t>
  </si>
  <si>
    <t>Catalyst</t>
  </si>
  <si>
    <t>Expected Date</t>
  </si>
  <si>
    <t>Current Consensus</t>
  </si>
  <si>
    <t>Our Estimate</t>
  </si>
  <si>
    <t>Gap / Upside</t>
  </si>
  <si>
    <t>FY2026 EPS (¥)</t>
  </si>
  <si>
    <t>May 2026</t>
  </si>
  <si>
    <t>¥130</t>
  </si>
  <si>
    <t>¥145+</t>
  </si>
  <si>
    <t>+12% upside to consensus</t>
  </si>
  <si>
    <t>RE Requiem first-month sales</t>
  </si>
  <si>
    <t>Mar 2026</t>
  </si>
  <si>
    <t>3-4M units</t>
  </si>
  <si>
    <t>5-6M units</t>
  </si>
  <si>
    <t>RE franchise avg debut 4M+; wishlists suggest higher</t>
  </si>
  <si>
    <t>MH Wilds cumulative (FY2026 end)</t>
  </si>
  <si>
    <t>15M units</t>
  </si>
  <si>
    <t>18-20M</t>
  </si>
  <si>
    <t>DLC + patches will reaccelerate; MH World hit 21M</t>
  </si>
  <si>
    <t>FY2027 Operating Profit</t>
  </si>
  <si>
    <t>May 2027</t>
  </si>
  <si>
    <t>¥80B</t>
  </si>
  <si>
    <t>¥88-95B</t>
  </si>
  <si>
    <t>Catalog flywheel + RE9 + new IP underestimated</t>
  </si>
  <si>
    <t>Analyst target price</t>
  </si>
  <si>
    <t>Rolling</t>
  </si>
  <si>
    <t>¥4,553</t>
  </si>
  <si>
    <t>¥5,100-5,400</t>
  </si>
  <si>
    <t>Targets will ratchet up as catalysts land</t>
  </si>
  <si>
    <t>12-month price realization</t>
  </si>
  <si>
    <t>Jan 2027</t>
  </si>
  <si>
    <t>Market implies ¥3,700-4,000</t>
  </si>
  <si>
    <t>¥4,800-5,400</t>
  </si>
  <si>
    <t>+30-47% from current</t>
  </si>
  <si>
    <t>Convergence Mechanism</t>
  </si>
  <si>
    <t>Catalyst sequence: (1) RE Requiem strong launch Feb 27 → analyst upgrades Mar, (2) Q3 results beat Jan 27 → EPS revisions, (3) FY2026 full-year beat May → guidance upgrade, (4) MH Wilds DLC attach rate surprises → long-term model re-rates. Each catalyst narrows consensus gap by 5-10%.</t>
  </si>
  <si>
    <t>CAPCOM (TSE: 9697) — MARKET SETUP &amp; SENTIMENT ANALYSIS</t>
  </si>
  <si>
    <t>SHAREHOLDER COMPOSITION (as of Mar 31, 2025)</t>
  </si>
  <si>
    <t>Shareholder Category</t>
  </si>
  <si>
    <t>Shares (000s)</t>
  </si>
  <si>
    <t>% of Outstanding</t>
  </si>
  <si>
    <t>Type</t>
  </si>
  <si>
    <t>Implications</t>
  </si>
  <si>
    <t>Tsujimoto Family (Crossroad + direct)</t>
  </si>
  <si>
    <t>Insider / Founder</t>
  </si>
  <si>
    <t>Aligned with long-term value; unlikely sellers</t>
  </si>
  <si>
    <t>Master Trust Bank of Japan</t>
  </si>
  <si>
    <t>Domestic Institutional</t>
  </si>
  <si>
    <t>Passive; tracks indices; provides floor</t>
  </si>
  <si>
    <t>Custody Bank of Japan</t>
  </si>
  <si>
    <t>Passive custody; stable holder</t>
  </si>
  <si>
    <t>Foreign Institutional</t>
  </si>
  <si>
    <t>Active + Passive</t>
  </si>
  <si>
    <t>Growth-oriented; potential incremental buyers on catalysts</t>
  </si>
  <si>
    <t>Domestic Retail</t>
  </si>
  <si>
    <t>Retail</t>
  </si>
  <si>
    <t>Sentiment-driven; can amplify moves</t>
  </si>
  <si>
    <t>Treasury Stock</t>
  </si>
  <si>
    <t>Company-held</t>
  </si>
  <si>
    <t>Buyback buffer; supports EPS</t>
  </si>
  <si>
    <t>Other / Float</t>
  </si>
  <si>
    <t>Various</t>
  </si>
  <si>
    <t>Available for trading</t>
  </si>
  <si>
    <t>Total Shares Outstanding</t>
  </si>
  <si>
    <t>thousands</t>
  </si>
  <si>
    <t>SETUP: PRICING vs NON-PRICING (What's Priced In?)</t>
  </si>
  <si>
    <t>Priced In?</t>
  </si>
  <si>
    <t>Market Implies</t>
  </si>
  <si>
    <t>Upside if Re-priced</t>
  </si>
  <si>
    <t>FY2026 guidance (¥73B OP)</t>
  </si>
  <si>
    <t>YES — Fully priced</t>
  </si>
  <si>
    <t>Current P/E ~25x on ¥145 TTM EPS</t>
  </si>
  <si>
    <t>Guidance is conservative; likely beat</t>
  </si>
  <si>
    <t>Minimal</t>
  </si>
  <si>
    <t>MH Wilds disappointment narrative</t>
  </si>
  <si>
    <t>YES — Overpriced</t>
  </si>
  <si>
    <t>Market treats as structural decline</t>
  </si>
  <si>
    <t>11M units = massive success; bugs fixable</t>
  </si>
  <si>
    <t>HIGH — narrative reversal = 10-15% move</t>
  </si>
  <si>
    <t>RE Requiem success</t>
  </si>
  <si>
    <t>PARTIALLY</t>
  </si>
  <si>
    <t>Some upside expected but not blockbuster</t>
  </si>
  <si>
    <t>2M+ wishlists → likely 5M+ units</t>
  </si>
  <si>
    <t>MODERATE — 5-8% move on strong debut</t>
  </si>
  <si>
    <t>Japan sector derating</t>
  </si>
  <si>
    <t>Capcom tarred with Square Enix/Konami brush</t>
  </si>
  <si>
    <t>Capcom margins 2x peers; shouldn't trade in line</t>
  </si>
  <si>
    <t>HIGH — sector re-rating = 10%+ move</t>
  </si>
  <si>
    <t>Catalog flywheel acceleration</t>
  </si>
  <si>
    <t>NO — Underpriced</t>
  </si>
  <si>
    <t>Market models flat catalog growth</t>
  </si>
  <si>
    <t>Catalog growing 20%+ YoY; structural shift</t>
  </si>
  <si>
    <t>HIGH — recurring revenue re-rating</t>
  </si>
  <si>
    <t>MH Wilds DLC revenue (¥6.4B deferred)</t>
  </si>
  <si>
    <t>NO — Not priced</t>
  </si>
  <si>
    <t>Market ignores deferred revenue</t>
  </si>
  <si>
    <t>DLC will add ¥5-10B incremental over 18 months</t>
  </si>
  <si>
    <t>HIGH — pure upside surprise</t>
  </si>
  <si>
    <t>Switch 2 catalog port cycle</t>
  </si>
  <si>
    <t>Not in estimates</t>
  </si>
  <si>
    <t>Similar to Switch 1 catalog boost in 2017-19</t>
  </si>
  <si>
    <t>MODERATE — gradual upside</t>
  </si>
  <si>
    <t>FY2027 guidance upgrade</t>
  </si>
  <si>
    <t>No visibility yet</t>
  </si>
  <si>
    <t>If FY2026 beats → FY2027 will guide higher</t>
  </si>
  <si>
    <t>HIGH — forward multiple expansion</t>
  </si>
  <si>
    <t>INCREMENTAL BUYER ANALYSIS</t>
  </si>
  <si>
    <t>Buyer Type</t>
  </si>
  <si>
    <t>Trigger</t>
  </si>
  <si>
    <t>Est. Buying Power</t>
  </si>
  <si>
    <t>Timeline</t>
  </si>
  <si>
    <t>Likelihood</t>
  </si>
  <si>
    <t>Sell-side upgrades (12 Buy, 0 Sell)</t>
  </si>
  <si>
    <t>RE Requiem strong sales / FY beat</t>
  </si>
  <si>
    <t>Influences $50B+ AUM</t>
  </si>
  <si>
    <t>Q1-Q2 2026</t>
  </si>
  <si>
    <t>HIGH</t>
  </si>
  <si>
    <t>Japan gaming sector rotation</t>
  </si>
  <si>
    <t>Sector earnings recovery / Nintendo Switch 2 cycle</t>
  </si>
  <si>
    <t>Sector-wide flows</t>
  </si>
  <si>
    <t>H1 2026</t>
  </si>
  <si>
    <t>MODERATE</t>
  </si>
  <si>
    <t>Foreign institutional inflows</t>
  </si>
  <si>
    <t>Weak JPY + strong earnings → Japan equity appeal</t>
  </si>
  <si>
    <t>$5-10B incremental to sector</t>
  </si>
  <si>
    <t>Passive index rebalancing</t>
  </si>
  <si>
    <t>Capcom re-weights in TOPIX/MSCI Japan on mkt cap recovery</t>
  </si>
  <si>
    <t>Automatic flows</t>
  </si>
  <si>
    <t>On price recovery</t>
  </si>
  <si>
    <t>Retail / momentum traders</t>
  </si>
  <si>
    <t>Stock breaking above 200-DMA (currently ¥3,850-4,000)</t>
  </si>
  <si>
    <t>Amplifies moves</t>
  </si>
  <si>
    <t>On breakout</t>
  </si>
  <si>
    <t>Value buyers on P/E compression</t>
  </si>
  <si>
    <t>P/E at 25x near 3-year low on TTM</t>
  </si>
  <si>
    <t>Quality-value crossover</t>
  </si>
  <si>
    <t>Now</t>
  </si>
  <si>
    <t>Active already</t>
  </si>
  <si>
    <t>BEAR THESIS vs BULL THESIS</t>
  </si>
  <si>
    <t>BEAR CASE</t>
  </si>
  <si>
    <t>BULL CASE</t>
  </si>
  <si>
    <t>MH Wilds is genuinely peaking; franchise fatigue sets in</t>
  </si>
  <si>
    <t>MH Wilds is fastest-selling Capcom game ever; franchise expanding to new audiences globally</t>
  </si>
  <si>
    <t>Japan gaming sector continues to de-rate on macro concerns</t>
  </si>
  <si>
    <t>Capcom decouples from weak peers on superior fundamentals; quality premium returns</t>
  </si>
  <si>
    <t>RE Requiem disappoints critically (unlikely given track record)</t>
  </si>
  <si>
    <t>RE Requiem joins RE2R, RE4R as critically acclaimed; drives 5M+ unit sales and catalog halo</t>
  </si>
  <si>
    <t>Competition from GTA VI absorbs consumer spending in 2026</t>
  </si>
  <si>
    <t>GTA VI is cross-platform — grows overall market; Capcom benefits from enlarged gaming TAM</t>
  </si>
  <si>
    <t>Management gets complacent after 12-year streak</t>
  </si>
  <si>
    <t>Founder-family ownership (22.7%) ensures long-term alignment; 100M unit target = ambition intact</t>
  </si>
  <si>
    <t>Valuation multiple compresses further from 33x → 20x</t>
  </si>
  <si>
    <t>Multiple expands from 25x → 30-35x as market recognizes recurring catalog revenue quality</t>
  </si>
  <si>
    <t>Probability Weighting</t>
  </si>
  <si>
    <t>Bear case: 20% probability | Base case: 55% probability | Bull case: 25% probability → Weighted toward base-to-bull outcome</t>
  </si>
  <si>
    <t>CAPCOM (TSE: 9697) — RISK-REWARD &amp; INVESTMENT RECOMMENDATION</t>
  </si>
  <si>
    <t>PROBABILITY-WEIGHTED RISK-REWARD ANALYSIS</t>
  </si>
  <si>
    <t>Target Price (¥)</t>
  </si>
  <si>
    <t>Return from ¥3,670</t>
  </si>
  <si>
    <t>Weighted Return</t>
  </si>
  <si>
    <t>Expected (Probability-Weighted) Return</t>
  </si>
  <si>
    <t>Expected Target Price (¥)</t>
  </si>
  <si>
    <t>Risk-Reward Ratio (Upside:Downside)</t>
  </si>
  <si>
    <t>SCENARIO ASSUMPTIONS DETAIL</t>
  </si>
  <si>
    <t>FY2026 Revenue (¥B)</t>
  </si>
  <si>
    <t>Bear: miss guidance; Base: meet+; Bull: upside from RE9</t>
  </si>
  <si>
    <t>FY2026 Operating Margin</t>
  </si>
  <si>
    <t>36.0%</t>
  </si>
  <si>
    <t>41.0%</t>
  </si>
  <si>
    <t>Bear: dev cost overruns; Base: guidance; Bull: catalog mix shift</t>
  </si>
  <si>
    <t>~95</t>
  </si>
  <si>
    <t>~105</t>
  </si>
  <si>
    <t>~115</t>
  </si>
  <si>
    <t>Flows from revenue × margin assumptions</t>
  </si>
  <si>
    <t>Exit P/E Multiple</t>
  </si>
  <si>
    <t>22x</t>
  </si>
  <si>
    <t>30x</t>
  </si>
  <si>
    <t>35x</t>
  </si>
  <si>
    <t>Bear: sector derates; Base: premium maintains; Bull: re-rates</t>
  </si>
  <si>
    <t>RE Requiem Sales (M units)</t>
  </si>
  <si>
    <t>2.5</t>
  </si>
  <si>
    <t>5.0</t>
  </si>
  <si>
    <t>7.0</t>
  </si>
  <si>
    <t>Bear: critical miss; Base: franchise avg; Bull: RE2R-level hit</t>
  </si>
  <si>
    <t>MH Wilds Cumulative (M)</t>
  </si>
  <si>
    <t>13</t>
  </si>
  <si>
    <t>18</t>
  </si>
  <si>
    <t>22</t>
  </si>
  <si>
    <t>Bear: no recovery; Base: DLC-driven; Bull: MH World trajectory</t>
  </si>
  <si>
    <t>Catalog Growth YoY</t>
  </si>
  <si>
    <t>5%</t>
  </si>
  <si>
    <t>Bear: plateau; Base: trend continues; Bull: Switch 2 + media boost</t>
  </si>
  <si>
    <t>Bear: ¥95 × 22x + cash; Base: ¥105 × 30x; Bull: ¥115 × 35x</t>
  </si>
  <si>
    <t>-24%</t>
  </si>
  <si>
    <t>+31%</t>
  </si>
  <si>
    <t>+47%</t>
  </si>
  <si>
    <t>KEY RISKS — STRUCTURED ANALYSIS</t>
  </si>
  <si>
    <t>Severity (1-5)</t>
  </si>
  <si>
    <t>Impact on Thesis</t>
  </si>
  <si>
    <t>RE Requiem critical/commercial disappointment</t>
  </si>
  <si>
    <t>15%</t>
  </si>
  <si>
    <t>Would delay narrative reversal; -5-10% on price</t>
  </si>
  <si>
    <t>RE franchise has 95%+ Metacritic hit rate; 2M+ wishlists de-risk</t>
  </si>
  <si>
    <t>MH Wilds fails to recover (permanent franchise damage)</t>
  </si>
  <si>
    <t>10%</t>
  </si>
  <si>
    <t>Would undermine long-term thesis; -15-20%</t>
  </si>
  <si>
    <t>11M sold = massive install base; MH World had similar post-launch issues and recovered to 21M</t>
  </si>
  <si>
    <t>Japan gaming sector further derates on macro</t>
  </si>
  <si>
    <t>25%</t>
  </si>
  <si>
    <t>Delay in multiple expansion; -5-10%</t>
  </si>
  <si>
    <t>Capcom trades on its own fundamentals over time; foreign investor interest provides floor</t>
  </si>
  <si>
    <t>GTA VI launches and absorbs consumer wallet share</t>
  </si>
  <si>
    <t>Temporary sales pressure in H2 2026</t>
  </si>
  <si>
    <t>Capcom titles target different demographics; overall TAM grows with GTA VI</t>
  </si>
  <si>
    <t>JPY strengthens materially (&gt;10%)</t>
  </si>
  <si>
    <t>Reduces overseas revenue in yen terms</t>
  </si>
  <si>
    <t>60%+ revenue is domestic digital; natural hedge from global pricing</t>
  </si>
  <si>
    <t>Key talent departure / management transition</t>
  </si>
  <si>
    <t>Would shake confidence in execution</t>
  </si>
  <si>
    <t>Deep bench: Ryozo Tsujimoto, Jun Takeuchi, Yoichi Egawa all experienced leaders</t>
  </si>
  <si>
    <t>Rising development costs squeeze margins</t>
  </si>
  <si>
    <t>Margin compression risk for FY2027+</t>
  </si>
  <si>
    <t>RE Engine in-house advantage; new Osaka facility for efficiency; catalog offsets</t>
  </si>
  <si>
    <t>Regulatory risk (loot boxes, age ratings)</t>
  </si>
  <si>
    <t>Could limit monetization in some markets</t>
  </si>
  <si>
    <t>Capcom uses premium pricing, not aggressive MTX; minimal exposure</t>
  </si>
  <si>
    <t>Cybersecurity breach (repeat of 2020 ransomware)</t>
  </si>
  <si>
    <t>Reputational damage; dev delays</t>
  </si>
  <si>
    <t>Capcom invested heavily in security post-2020; ISO27001 certified</t>
  </si>
  <si>
    <t>INVESTMENT RECOMMENDATION</t>
  </si>
  <si>
    <t>Recommendation</t>
  </si>
  <si>
    <t>BUY</t>
  </si>
  <si>
    <t>Current Price</t>
  </si>
  <si>
    <t>¥3,670</t>
  </si>
  <si>
    <t>12-Month Target Price</t>
  </si>
  <si>
    <t>¥4,800 (Base Case)</t>
  </si>
  <si>
    <t>Upside Potential</t>
  </si>
  <si>
    <t>+30.8%</t>
  </si>
  <si>
    <t>Risk-Reward Ratio</t>
  </si>
  <si>
    <t>See E10 (formula-driven)</t>
  </si>
  <si>
    <t>Expected Return (Prob-Weighted)</t>
  </si>
  <si>
    <t>See E8 (formula-driven)</t>
  </si>
  <si>
    <t>Investment Horizon</t>
  </si>
  <si>
    <t>12-18 months</t>
  </si>
  <si>
    <t>Conviction Level</t>
  </si>
  <si>
    <t>HIGH (8/10)</t>
  </si>
  <si>
    <t>Position Sizing</t>
  </si>
  <si>
    <t>8-12% of portfolio (concentrated bet on asymmetric setup)</t>
  </si>
  <si>
    <t>Stop-Loss Consideration</t>
  </si>
  <si>
    <t>¥3,000 (-18%) — below 52-week low of ¥3,226</t>
  </si>
  <si>
    <t>KEY THESIS SUMMARY</t>
  </si>
  <si>
    <t>1. Asymmetric setup: Stock -27% from peak while earnings at 12th consecutive record. Market punishing on MH Wilds narrative, not fundamentals.</t>
  </si>
  <si>
    <t>2. Catalyst-rich next 6 months: RE Requiem (Feb 27), Q3 results (Jan 27), MH Wilds DLC, Switch 2 ports, pachislo surge.</t>
  </si>
  <si>
    <t>3. Structural underappreciation of catalog flywheel: 74% of units at near-zero marginal cost = recurring revenue the market doesn't model.</t>
  </si>
  <si>
    <t>4. Best-in-class quality: 39% op margin (2x peers), 25% ROE, 72% equity ratio, 93% digital, 0.58 beta. Defensive-growth compounder.</t>
  </si>
  <si>
    <t>5. Variant view: Consensus EPS ¥130 likely too low. Our ¥145+ estimate implies 12% upside to estimates → drives analyst upgrades and price target increases.</t>
  </si>
  <si>
    <t>CAPCOM vs PEERS — COMPREHENSIVE COMPETITOR COMPARISON</t>
  </si>
  <si>
    <t>FINANCIAL METRICS COMPARISON (LTM / FY2025)</t>
  </si>
  <si>
    <t>Capcom</t>
  </si>
  <si>
    <t>Nintendo</t>
  </si>
  <si>
    <t>Square Enix</t>
  </si>
  <si>
    <t>Konami</t>
  </si>
  <si>
    <t>Bandai Namco</t>
  </si>
  <si>
    <t>EA</t>
  </si>
  <si>
    <t>Revenue (Local Ccy, B)</t>
  </si>
  <si>
    <t>¥169.6B</t>
  </si>
  <si>
    <t>¥1,671B</t>
  </si>
  <si>
    <t>¥356B</t>
  </si>
  <si>
    <t>¥370B</t>
  </si>
  <si>
    <t>¥1,060B</t>
  </si>
  <si>
    <t>$7.6B</t>
  </si>
  <si>
    <t>Revenue Growth YoY</t>
  </si>
  <si>
    <t>Net Margin</t>
  </si>
  <si>
    <t>EV/Revenue</t>
  </si>
  <si>
    <t>Net Cash/(Debt) Position</t>
  </si>
  <si>
    <t>Net Cash ¥97B</t>
  </si>
  <si>
    <t>Net Cash ¥1.1T</t>
  </si>
  <si>
    <t>Net Cash ¥50B</t>
  </si>
  <si>
    <t>Net Cash ¥20B</t>
  </si>
  <si>
    <t>Net Cash ¥120B</t>
  </si>
  <si>
    <t>Net Debt $2B</t>
  </si>
  <si>
    <t>3-Yr Revenue CAGR</t>
  </si>
  <si>
    <t>3-Yr EPS CAGR</t>
  </si>
  <si>
    <t>Digital Sales %</t>
  </si>
  <si>
    <t>Catalog % of Unit Sales</t>
  </si>
  <si>
    <t>CAPCOM COMPETITIVE ADVANTAGES — WHERE CAPCOM LEADS</t>
  </si>
  <si>
    <t>#1 Operating Margin</t>
  </si>
  <si>
    <t>38.8% — nearly 2x the peer average of ~19%. Only EA approaches, and EA has declining revenue growth.</t>
  </si>
  <si>
    <t>#1 EPS Growth</t>
  </si>
  <si>
    <t>28% 3-year CAGR vs peer average 8%. Fastest earnings compounder in the sector.</t>
  </si>
  <si>
    <t>#1 Digital Transition</t>
  </si>
  <si>
    <t>93.2% digital — highest in console/PC gaming. Nintendo at 35%. This = structurally higher margins.</t>
  </si>
  <si>
    <t>#1 Catalog Monetization</t>
  </si>
  <si>
    <t>68.3% of sales from catalog (peer avg ~35%). Near-zero marginal cost recurring revenue.</t>
  </si>
  <si>
    <t>#1 Lowest Beta</t>
  </si>
  <si>
    <t>0.58 — most defensive name in gaming. Lower risk profile than all major peers.</t>
  </si>
  <si>
    <t>#1 IP Concentration (Quality)</t>
  </si>
  <si>
    <t>8 franchises &gt;10M cumulative sales. Deep quality &gt; breadth. Better hit rate than peers.</t>
  </si>
  <si>
    <t>Justified Premium</t>
  </si>
  <si>
    <t>Trades at 25x P/E (below recent avg of 33x). Premium warranted by 2x margins, 3x growth, best catalog model.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</si>
</sst>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;\(#,##0\);\-"/>
    <numFmt numFmtId="165" formatCode="0.0%;\(0.0%\);\-"/>
    <numFmt numFmtId="166" formatCode="0.000"/>
    <numFmt numFmtId="167" formatCode="0.0\x;\(0.0&quot;x)&quot;;\-"/>
    <numFmt numFmtId="168" formatCode="0.0"/>
    <numFmt numFmtId="169" formatCode="0.0%"/>
    <numFmt numFmtId="170" formatCode="#,##0.0"/>
    <numFmt numFmtId="171" formatCode="0.0\x"/>
  </numFmts>
  <fonts count="43" x14ac:knownFonts="1">
    <font>
      <sz val="11"/>
      <color theme="1"/>
      <name val="Calibri"/>
      <family val="2"/>
      <scheme val="minor"/>
    </font>
    <font>
      <b/>
      <sz val="14"/>
      <color rgb="FF000000"/>
      <name val="Arial"/>
      <charset val="1"/>
    </font>
    <font>
      <sz val="9"/>
      <color rgb="FF999999"/>
      <name val="Arial"/>
      <charset val="1"/>
    </font>
    <font>
      <b/>
      <sz val="10"/>
      <color rgb="FFFFFFFF"/>
      <name val="Arial"/>
      <charset val="1"/>
    </font>
    <font>
      <b/>
      <sz val="11"/>
      <color rgb="FF1F4E79"/>
      <name val="Arial"/>
      <charset val="1"/>
    </font>
    <font>
      <sz val="10"/>
      <color rgb="FF000000"/>
      <name val="Arial"/>
      <charset val="1"/>
    </font>
    <font>
      <sz val="10"/>
      <color rgb="FF0000FF"/>
      <name val="Arial"/>
      <charset val="1"/>
    </font>
    <font>
      <sz val="8"/>
      <color rgb="FF888888"/>
      <name val="Arial"/>
      <charset val="1"/>
    </font>
    <font>
      <b/>
      <sz val="10"/>
      <color rgb="FF000000"/>
      <name val="Arial"/>
      <charset val="1"/>
    </font>
    <font>
      <sz val="10"/>
      <color rgb="FF008000"/>
      <name val="Arial"/>
      <charset val="1"/>
    </font>
    <font>
      <b/>
      <sz val="10"/>
      <color rgb="FF0000FF"/>
      <name val="Arial"/>
      <charset val="1"/>
    </font>
    <font>
      <b/>
      <sz val="10"/>
      <color rgb="FF008000"/>
      <name val="Arial"/>
      <charset val="1"/>
    </font>
    <font>
      <sz val="11"/>
      <color theme="1"/>
      <name val="Calibri"/>
      <family val="2"/>
      <charset val="1"/>
    </font>
    <font>
      <b/>
      <sz val="14"/>
      <color rgb="FF1F4E79"/>
      <name val="Arial"/>
      <charset val="1"/>
    </font>
    <font>
      <b/>
      <sz val="12"/>
      <color rgb="FF1F4E79"/>
      <name val="Arial"/>
      <charset val="1"/>
    </font>
    <font>
      <b/>
      <sz val="11"/>
      <color rgb="FFFFFFFF"/>
      <name val="Arial"/>
      <charset val="1"/>
    </font>
    <font>
      <b/>
      <sz val="10"/>
      <name val="Arial"/>
      <charset val="1"/>
    </font>
    <font>
      <b/>
      <sz val="10"/>
      <color rgb="FF1F4E79"/>
      <name val="Arial"/>
      <charset val="1"/>
    </font>
    <font>
      <sz val="10"/>
      <color rgb="FF006100"/>
      <name val="Arial"/>
      <charset val="1"/>
    </font>
    <font>
      <b/>
      <sz val="11"/>
      <color rgb="FFC00000"/>
      <name val="Arial"/>
      <charset val="1"/>
    </font>
    <font>
      <b/>
      <sz val="11"/>
      <color rgb="FF006100"/>
      <name val="Arial"/>
      <charset val="1"/>
    </font>
    <font>
      <sz val="10"/>
      <color rgb="FFC00000"/>
      <name val="Arial"/>
      <charset val="1"/>
    </font>
    <font>
      <b/>
      <sz val="11"/>
      <name val="Arial"/>
      <charset val="1"/>
    </font>
    <font>
      <b/>
      <sz val="14"/>
      <color rgb="FFFFFFFF"/>
      <name val="Arial"/>
      <charset val="1"/>
    </font>
    <font>
      <b/>
      <sz val="14"/>
      <color rgb="FF006100"/>
      <name val="Arial"/>
      <charset val="1"/>
    </font>
    <font>
      <b/>
      <sz val="10"/>
      <color rgb="FF006100"/>
      <name val="Arial"/>
      <charset val="1"/>
    </font>
    <font>
      <b/>
      <sz val="12"/>
      <color rgb="FFFFFFFF"/>
      <name val="Calibri"/>
    </font>
    <font>
      <b/>
      <sz val="11"/>
      <name val="Calibri"/>
    </font>
    <font>
      <b/>
      <sz val="14"/>
      <color rgb="FFFFFFFF"/>
      <name val="Calibri"/>
    </font>
    <font>
      <i/>
      <sz val="10"/>
      <name val="Calibri"/>
    </font>
    <font>
      <sz val="11"/>
      <color rgb="FF000000"/>
      <name val="Calibri"/>
    </font>
    <font>
      <b/>
      <sz val="11"/>
      <color rgb="FF0000FF"/>
      <name val="Calibri"/>
    </font>
    <font>
      <sz val="11"/>
      <color rgb="FF008000"/>
      <name val="Calibri"/>
    </font>
    <font>
      <i/>
      <sz val="11"/>
      <name val="Calibri"/>
    </font>
    <font>
      <b/>
      <sz val="12"/>
      <name val="Calibri"/>
    </font>
    <font>
      <b/>
      <i/>
      <sz val="11"/>
      <name val="Calibri"/>
    </font>
    <font>
      <b/>
      <sz val="13"/>
      <name val="Calibri"/>
    </font>
    <font>
      <sz val="11"/>
      <name val="Calibri"/>
    </font>
    <font>
      <b/>
      <sz val="11"/>
      <name val="Calibri"/>
    </font>
    <font>
      <b/>
      <sz val="16"/>
      <name val="Calibri"/>
    </font>
    <font>
      <i/>
      <sz val="10"/>
      <color rgb="FF666666"/>
      <name val="Calibri"/>
    </font>
    <font>
      <b/>
      <sz val="12"/>
      <name val="Calibri"/>
    </font>
    <font>
      <b/>
      <sz val="11"/>
      <color rgb="FFFFFFFF"/>
      <name val="Calibri"/>
    </font>
  </fonts>
  <fills count="1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D6E4F0"/>
        <bgColor rgb="FFD9D9D9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2F2F2"/>
      </patternFill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  <fill>
      <patternFill patternType="solid">
        <fgColor rgb="FFFCE4D6"/>
        <bgColor rgb="FFFCE4D6"/>
      </patternFill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  <fill>
      <patternFill patternType="solid">
        <fgColor rgb="FFFFF2CC"/>
        <bgColor indexed="64"/>
      </patternFill>
    </fill>
    <fill>
      <patternFill patternType="solid">
        <fgColor rgb="FFC5E0B4"/>
        <bgColor rgb="FFC5E0B4"/>
      </patternFill>
    </fill>
    <fill>
      <patternFill patternType="solid">
        <fgColor rgb="FFD6E4F0"/>
        <bgColor rgb="FFD6E4F0"/>
      </patternFill>
    </fill>
    <fill>
      <patternFill patternType="solid">
        <fgColor rgb="FFFFFF00"/>
        <bgColor rgb="FFFFFF00"/>
      </patternFill>
    </fill>
    <fill>
      <patternFill patternType="solid">
        <fgColor rgb="FF1F4E79"/>
        <bgColor rgb="FF1F4E79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wrapText="1"/>
    </xf>
    <xf numFmtId="0" fontId="4" fillId="0" borderId="0" xfId="0" applyFont="1"/>
    <xf numFmtId="0" fontId="5" fillId="0" borderId="0" xfId="0" applyFont="1"/>
    <xf numFmtId="164" fontId="6" fillId="0" borderId="0" xfId="0" applyNumberFormat="1" applyFont="1"/>
    <xf numFmtId="0" fontId="7" fillId="0" borderId="0" xfId="0" applyFont="1"/>
    <xf numFmtId="164" fontId="5" fillId="0" borderId="0" xfId="0" applyNumberFormat="1" applyFont="1"/>
    <xf numFmtId="0" fontId="6" fillId="0" borderId="0" xfId="0" applyFont="1"/>
    <xf numFmtId="2" fontId="6" fillId="0" borderId="0" xfId="0" applyNumberFormat="1" applyFont="1"/>
    <xf numFmtId="165" fontId="5" fillId="0" borderId="0" xfId="0" applyNumberFormat="1" applyFont="1"/>
    <xf numFmtId="0" fontId="5" fillId="0" borderId="0" xfId="0" applyFont="1" applyAlignment="1">
      <alignment indent="1"/>
    </xf>
    <xf numFmtId="165" fontId="6" fillId="0" borderId="0" xfId="0" applyNumberFormat="1" applyFont="1"/>
    <xf numFmtId="2" fontId="5" fillId="0" borderId="0" xfId="0" applyNumberFormat="1" applyFont="1"/>
    <xf numFmtId="0" fontId="8" fillId="0" borderId="0" xfId="0" applyFont="1"/>
    <xf numFmtId="164" fontId="9" fillId="0" borderId="0" xfId="0" applyNumberFormat="1" applyFont="1"/>
    <xf numFmtId="164" fontId="8" fillId="0" borderId="1" xfId="0" applyNumberFormat="1" applyFont="1" applyBorder="1"/>
    <xf numFmtId="164" fontId="8" fillId="0" borderId="0" xfId="0" applyNumberFormat="1" applyFont="1"/>
    <xf numFmtId="164" fontId="8" fillId="0" borderId="2" xfId="0" applyNumberFormat="1" applyFont="1" applyBorder="1"/>
    <xf numFmtId="164" fontId="10" fillId="0" borderId="0" xfId="0" applyNumberFormat="1" applyFont="1"/>
    <xf numFmtId="164" fontId="11" fillId="0" borderId="0" xfId="0" applyNumberFormat="1" applyFont="1"/>
    <xf numFmtId="165" fontId="9" fillId="0" borderId="0" xfId="0" applyNumberFormat="1" applyFont="1"/>
    <xf numFmtId="166" fontId="5" fillId="0" borderId="0" xfId="0" applyNumberFormat="1" applyFont="1"/>
    <xf numFmtId="164" fontId="8" fillId="3" borderId="0" xfId="0" applyNumberFormat="1" applyFont="1" applyFill="1"/>
    <xf numFmtId="165" fontId="8" fillId="3" borderId="0" xfId="0" applyNumberFormat="1" applyFont="1" applyFill="1"/>
    <xf numFmtId="167" fontId="5" fillId="0" borderId="0" xfId="0" applyNumberFormat="1" applyFont="1"/>
    <xf numFmtId="167" fontId="9" fillId="0" borderId="0" xfId="0" applyNumberFormat="1" applyFont="1"/>
    <xf numFmtId="167" fontId="6" fillId="0" borderId="0" xfId="0" applyNumberFormat="1" applyFont="1"/>
    <xf numFmtId="167" fontId="8" fillId="0" borderId="0" xfId="0" applyNumberFormat="1" applyFont="1"/>
    <xf numFmtId="165" fontId="8" fillId="0" borderId="0" xfId="0" applyNumberFormat="1" applyFont="1"/>
    <xf numFmtId="165" fontId="3" fillId="2" borderId="0" xfId="0" applyNumberFormat="1" applyFont="1" applyFill="1" applyAlignment="1">
      <alignment horizontal="center"/>
    </xf>
    <xf numFmtId="165" fontId="10" fillId="0" borderId="0" xfId="0" applyNumberFormat="1" applyFont="1"/>
    <xf numFmtId="0" fontId="12" fillId="0" borderId="0" xfId="0" applyFont="1"/>
    <xf numFmtId="164" fontId="5" fillId="3" borderId="0" xfId="0" applyNumberFormat="1" applyFont="1" applyFill="1"/>
    <xf numFmtId="168" fontId="6" fillId="0" borderId="0" xfId="0" applyNumberFormat="1" applyFont="1"/>
    <xf numFmtId="168" fontId="8" fillId="0" borderId="1" xfId="0" applyNumberFormat="1" applyFont="1" applyBorder="1"/>
    <xf numFmtId="0" fontId="15" fillId="2" borderId="0" xfId="0" applyFont="1" applyFill="1" applyAlignment="1">
      <alignment horizontal="center" wrapText="1"/>
    </xf>
    <xf numFmtId="0" fontId="5" fillId="0" borderId="3" xfId="0" applyFont="1" applyBorder="1" applyAlignment="1">
      <alignment wrapText="1"/>
    </xf>
    <xf numFmtId="0" fontId="6" fillId="0" borderId="3" xfId="0" applyFont="1" applyBorder="1" applyAlignment="1">
      <alignment wrapText="1"/>
    </xf>
    <xf numFmtId="0" fontId="16" fillId="0" borderId="0" xfId="0" applyFont="1"/>
    <xf numFmtId="168" fontId="16" fillId="3" borderId="0" xfId="0" applyNumberFormat="1" applyFont="1" applyFill="1"/>
    <xf numFmtId="0" fontId="5" fillId="0" borderId="3" xfId="0" applyFont="1" applyBorder="1"/>
    <xf numFmtId="169" fontId="6" fillId="0" borderId="3" xfId="0" applyNumberFormat="1" applyFont="1" applyBorder="1"/>
    <xf numFmtId="170" fontId="6" fillId="0" borderId="3" xfId="0" applyNumberFormat="1" applyFont="1" applyBorder="1"/>
    <xf numFmtId="3" fontId="6" fillId="0" borderId="3" xfId="0" applyNumberFormat="1" applyFont="1" applyBorder="1"/>
    <xf numFmtId="0" fontId="16" fillId="3" borderId="0" xfId="0" applyFont="1" applyFill="1"/>
    <xf numFmtId="0" fontId="6" fillId="0" borderId="3" xfId="0" applyFont="1" applyBorder="1"/>
    <xf numFmtId="0" fontId="5" fillId="0" borderId="3" xfId="0" applyFont="1" applyBorder="1" applyAlignment="1">
      <alignment vertical="top" wrapText="1"/>
    </xf>
    <xf numFmtId="0" fontId="17" fillId="5" borderId="3" xfId="0" applyFont="1" applyFill="1" applyBorder="1" applyAlignment="1">
      <alignment wrapText="1"/>
    </xf>
    <xf numFmtId="0" fontId="12" fillId="0" borderId="3" xfId="0" applyFont="1" applyBorder="1" applyAlignment="1">
      <alignment wrapText="1"/>
    </xf>
    <xf numFmtId="0" fontId="5" fillId="6" borderId="3" xfId="0" applyFont="1" applyFill="1" applyBorder="1" applyAlignment="1">
      <alignment wrapText="1"/>
    </xf>
    <xf numFmtId="3" fontId="6" fillId="0" borderId="3" xfId="0" applyNumberFormat="1" applyFont="1" applyBorder="1" applyAlignment="1">
      <alignment wrapText="1"/>
    </xf>
    <xf numFmtId="169" fontId="6" fillId="0" borderId="3" xfId="0" applyNumberFormat="1" applyFont="1" applyBorder="1" applyAlignment="1">
      <alignment wrapText="1"/>
    </xf>
    <xf numFmtId="3" fontId="16" fillId="0" borderId="0" xfId="0" applyNumberFormat="1" applyFont="1"/>
    <xf numFmtId="0" fontId="5" fillId="7" borderId="3" xfId="0" applyFont="1" applyFill="1" applyBorder="1" applyAlignment="1">
      <alignment vertical="top" wrapText="1"/>
    </xf>
    <xf numFmtId="0" fontId="18" fillId="6" borderId="3" xfId="0" applyFont="1" applyFill="1" applyBorder="1" applyAlignment="1">
      <alignment vertical="top" wrapText="1"/>
    </xf>
    <xf numFmtId="169" fontId="5" fillId="0" borderId="3" xfId="0" applyNumberFormat="1" applyFont="1" applyBorder="1"/>
    <xf numFmtId="0" fontId="22" fillId="3" borderId="0" xfId="0" applyFont="1" applyFill="1"/>
    <xf numFmtId="169" fontId="22" fillId="3" borderId="0" xfId="0" applyNumberFormat="1" applyFont="1" applyFill="1"/>
    <xf numFmtId="3" fontId="22" fillId="3" borderId="0" xfId="0" applyNumberFormat="1" applyFont="1" applyFill="1"/>
    <xf numFmtId="171" fontId="22" fillId="3" borderId="0" xfId="0" applyNumberFormat="1" applyFont="1" applyFill="1"/>
    <xf numFmtId="0" fontId="6" fillId="0" borderId="3" xfId="0" applyFont="1" applyBorder="1" applyAlignment="1">
      <alignment vertical="top" wrapText="1"/>
    </xf>
    <xf numFmtId="0" fontId="16" fillId="0" borderId="3" xfId="0" applyFont="1" applyBorder="1"/>
    <xf numFmtId="0" fontId="25" fillId="6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169" fontId="25" fillId="6" borderId="3" xfId="0" applyNumberFormat="1" applyFont="1" applyFill="1" applyBorder="1" applyAlignment="1">
      <alignment horizontal="center"/>
    </xf>
    <xf numFmtId="169" fontId="6" fillId="0" borderId="3" xfId="0" applyNumberFormat="1" applyFont="1" applyBorder="1" applyAlignment="1">
      <alignment horizontal="center"/>
    </xf>
    <xf numFmtId="10" fontId="16" fillId="0" borderId="3" xfId="0" applyNumberFormat="1" applyFont="1" applyBorder="1" applyAlignment="1">
      <alignment horizontal="center"/>
    </xf>
    <xf numFmtId="171" fontId="25" fillId="6" borderId="3" xfId="0" applyNumberFormat="1" applyFont="1" applyFill="1" applyBorder="1" applyAlignment="1">
      <alignment horizontal="center"/>
    </xf>
    <xf numFmtId="171" fontId="6" fillId="0" borderId="3" xfId="0" applyNumberFormat="1" applyFont="1" applyBorder="1" applyAlignment="1">
      <alignment horizontal="center"/>
    </xf>
    <xf numFmtId="0" fontId="16" fillId="0" borderId="3" xfId="0" applyFont="1" applyBorder="1" applyAlignment="1">
      <alignment horizontal="center"/>
    </xf>
    <xf numFmtId="2" fontId="25" fillId="6" borderId="3" xfId="0" applyNumberFormat="1" applyFont="1" applyFill="1" applyBorder="1" applyAlignment="1">
      <alignment horizontal="center"/>
    </xf>
    <xf numFmtId="2" fontId="6" fillId="0" borderId="3" xfId="0" applyNumberFormat="1" applyFont="1" applyBorder="1" applyAlignment="1">
      <alignment horizontal="center"/>
    </xf>
    <xf numFmtId="0" fontId="25" fillId="6" borderId="0" xfId="0" applyFont="1" applyFill="1"/>
    <xf numFmtId="0" fontId="27" fillId="8" borderId="4" xfId="0" applyFont="1" applyFill="1" applyBorder="1" applyAlignment="1">
      <alignment horizontal="center" vertical="center"/>
    </xf>
    <xf numFmtId="0" fontId="27" fillId="9" borderId="4" xfId="0" applyFont="1" applyFill="1" applyBorder="1" applyAlignment="1">
      <alignment horizontal="center" vertical="center"/>
    </xf>
    <xf numFmtId="0" fontId="27" fillId="10" borderId="4" xfId="0" applyFont="1" applyFill="1" applyBorder="1" applyAlignment="1">
      <alignment horizontal="center" vertical="center"/>
    </xf>
    <xf numFmtId="0" fontId="30" fillId="12" borderId="4" xfId="0" applyFont="1" applyFill="1" applyBorder="1" applyAlignment="1">
      <alignment horizontal="center" vertical="center"/>
    </xf>
    <xf numFmtId="3" fontId="31" fillId="9" borderId="4" xfId="0" applyNumberFormat="1" applyFont="1" applyFill="1" applyBorder="1" applyAlignment="1">
      <alignment horizontal="center" vertical="center"/>
    </xf>
    <xf numFmtId="0" fontId="30" fillId="0" borderId="4" xfId="0" applyFont="1" applyBorder="1" applyAlignment="1">
      <alignment horizontal="center" vertical="center"/>
    </xf>
    <xf numFmtId="2" fontId="31" fillId="9" borderId="4" xfId="0" applyNumberFormat="1" applyFont="1" applyFill="1" applyBorder="1" applyAlignment="1">
      <alignment horizontal="center" vertical="center"/>
    </xf>
    <xf numFmtId="0" fontId="30" fillId="13" borderId="4" xfId="0" applyFont="1" applyFill="1" applyBorder="1" applyAlignment="1">
      <alignment horizontal="center" vertical="center"/>
    </xf>
    <xf numFmtId="169" fontId="30" fillId="9" borderId="4" xfId="0" applyNumberFormat="1" applyFont="1" applyFill="1" applyBorder="1" applyAlignment="1">
      <alignment horizontal="center" vertical="center"/>
    </xf>
    <xf numFmtId="169" fontId="31" fillId="9" borderId="4" xfId="0" applyNumberFormat="1" applyFont="1" applyFill="1" applyBorder="1" applyAlignment="1">
      <alignment horizontal="center" vertical="center"/>
    </xf>
    <xf numFmtId="0" fontId="27" fillId="8" borderId="4" xfId="0" applyFont="1" applyFill="1" applyBorder="1" applyAlignment="1">
      <alignment horizontal="left" vertical="center"/>
    </xf>
    <xf numFmtId="0" fontId="30" fillId="12" borderId="4" xfId="0" applyFont="1" applyFill="1" applyBorder="1" applyAlignment="1">
      <alignment horizontal="left" vertical="center"/>
    </xf>
    <xf numFmtId="3" fontId="31" fillId="10" borderId="4" xfId="0" applyNumberFormat="1" applyFont="1" applyFill="1" applyBorder="1" applyAlignment="1">
      <alignment horizontal="center" vertical="center"/>
    </xf>
    <xf numFmtId="0" fontId="27" fillId="3" borderId="4" xfId="0" applyFont="1" applyFill="1" applyBorder="1" applyAlignment="1">
      <alignment horizontal="left" vertical="center"/>
    </xf>
    <xf numFmtId="3" fontId="30" fillId="9" borderId="4" xfId="0" applyNumberFormat="1" applyFont="1" applyFill="1" applyBorder="1" applyAlignment="1">
      <alignment horizontal="center" vertical="center"/>
    </xf>
    <xf numFmtId="3" fontId="30" fillId="10" borderId="4" xfId="0" applyNumberFormat="1" applyFont="1" applyFill="1" applyBorder="1" applyAlignment="1">
      <alignment horizontal="center" vertical="center"/>
    </xf>
    <xf numFmtId="0" fontId="27" fillId="0" borderId="4" xfId="0" applyFont="1" applyBorder="1" applyAlignment="1">
      <alignment horizontal="left" vertical="center"/>
    </xf>
    <xf numFmtId="169" fontId="30" fillId="10" borderId="4" xfId="0" applyNumberFormat="1" applyFont="1" applyFill="1" applyBorder="1" applyAlignment="1">
      <alignment horizontal="center" vertical="center"/>
    </xf>
    <xf numFmtId="168" fontId="31" fillId="9" borderId="4" xfId="0" applyNumberFormat="1" applyFont="1" applyFill="1" applyBorder="1" applyAlignment="1">
      <alignment horizontal="center" vertical="center"/>
    </xf>
    <xf numFmtId="168" fontId="31" fillId="10" borderId="4" xfId="0" applyNumberFormat="1" applyFont="1" applyFill="1" applyBorder="1" applyAlignment="1">
      <alignment horizontal="center" vertical="center"/>
    </xf>
    <xf numFmtId="0" fontId="30" fillId="0" borderId="4" xfId="0" applyFont="1" applyBorder="1" applyAlignment="1">
      <alignment horizontal="left" vertical="center"/>
    </xf>
    <xf numFmtId="168" fontId="30" fillId="9" borderId="4" xfId="0" applyNumberFormat="1" applyFont="1" applyFill="1" applyBorder="1" applyAlignment="1">
      <alignment horizontal="center" vertical="center"/>
    </xf>
    <xf numFmtId="168" fontId="30" fillId="10" borderId="4" xfId="0" applyNumberFormat="1" applyFont="1" applyFill="1" applyBorder="1" applyAlignment="1">
      <alignment horizontal="center" vertical="center"/>
    </xf>
    <xf numFmtId="169" fontId="31" fillId="10" borderId="4" xfId="0" applyNumberFormat="1" applyFont="1" applyFill="1" applyBorder="1" applyAlignment="1">
      <alignment horizontal="center" vertical="center"/>
    </xf>
    <xf numFmtId="0" fontId="30" fillId="8" borderId="4" xfId="0" applyFont="1" applyFill="1" applyBorder="1" applyAlignment="1">
      <alignment horizontal="left" vertical="center"/>
    </xf>
    <xf numFmtId="10" fontId="31" fillId="12" borderId="4" xfId="0" applyNumberFormat="1" applyFont="1" applyFill="1" applyBorder="1" applyAlignment="1">
      <alignment horizontal="center" vertical="center"/>
    </xf>
    <xf numFmtId="2" fontId="31" fillId="12" borderId="4" xfId="0" applyNumberFormat="1" applyFont="1" applyFill="1" applyBorder="1" applyAlignment="1">
      <alignment horizontal="center" vertical="center"/>
    </xf>
    <xf numFmtId="10" fontId="30" fillId="3" borderId="4" xfId="0" applyNumberFormat="1" applyFont="1" applyFill="1" applyBorder="1" applyAlignment="1">
      <alignment horizontal="center" vertical="center"/>
    </xf>
    <xf numFmtId="10" fontId="32" fillId="3" borderId="4" xfId="0" applyNumberFormat="1" applyFont="1" applyFill="1" applyBorder="1" applyAlignment="1">
      <alignment horizontal="center" vertical="center"/>
    </xf>
    <xf numFmtId="169" fontId="31" fillId="12" borderId="4" xfId="0" applyNumberFormat="1" applyFont="1" applyFill="1" applyBorder="1" applyAlignment="1">
      <alignment horizontal="center" vertical="center"/>
    </xf>
    <xf numFmtId="0" fontId="27" fillId="9" borderId="4" xfId="0" applyFont="1" applyFill="1" applyBorder="1" applyAlignment="1">
      <alignment horizontal="right" vertical="center"/>
    </xf>
    <xf numFmtId="0" fontId="27" fillId="10" borderId="4" xfId="0" applyFont="1" applyFill="1" applyBorder="1" applyAlignment="1">
      <alignment horizontal="right" vertical="center"/>
    </xf>
    <xf numFmtId="0" fontId="27" fillId="14" borderId="4" xfId="0" applyFont="1" applyFill="1" applyBorder="1" applyAlignment="1">
      <alignment horizontal="left" vertical="center"/>
    </xf>
    <xf numFmtId="3" fontId="30" fillId="9" borderId="4" xfId="0" applyNumberFormat="1" applyFont="1" applyFill="1" applyBorder="1" applyAlignment="1">
      <alignment horizontal="right" vertical="center"/>
    </xf>
    <xf numFmtId="3" fontId="32" fillId="10" borderId="4" xfId="0" applyNumberFormat="1" applyFont="1" applyFill="1" applyBorder="1" applyAlignment="1">
      <alignment horizontal="right" vertical="center"/>
    </xf>
    <xf numFmtId="0" fontId="33" fillId="0" borderId="4" xfId="0" applyFont="1" applyBorder="1" applyAlignment="1">
      <alignment horizontal="left" vertical="center"/>
    </xf>
    <xf numFmtId="169" fontId="30" fillId="9" borderId="4" xfId="0" applyNumberFormat="1" applyFont="1" applyFill="1" applyBorder="1" applyAlignment="1">
      <alignment horizontal="right" vertical="center"/>
    </xf>
    <xf numFmtId="169" fontId="30" fillId="10" borderId="4" xfId="0" applyNumberFormat="1" applyFont="1" applyFill="1" applyBorder="1" applyAlignment="1">
      <alignment horizontal="right" vertical="center"/>
    </xf>
    <xf numFmtId="3" fontId="30" fillId="10" borderId="4" xfId="0" applyNumberFormat="1" applyFont="1" applyFill="1" applyBorder="1" applyAlignment="1">
      <alignment horizontal="right" vertical="center"/>
    </xf>
    <xf numFmtId="0" fontId="34" fillId="14" borderId="4" xfId="0" applyFont="1" applyFill="1" applyBorder="1" applyAlignment="1">
      <alignment horizontal="left" vertical="center"/>
    </xf>
    <xf numFmtId="3" fontId="27" fillId="9" borderId="4" xfId="0" applyNumberFormat="1" applyFont="1" applyFill="1" applyBorder="1" applyAlignment="1">
      <alignment horizontal="right" vertical="center"/>
    </xf>
    <xf numFmtId="3" fontId="27" fillId="10" borderId="4" xfId="0" applyNumberFormat="1" applyFont="1" applyFill="1" applyBorder="1" applyAlignment="1">
      <alignment horizontal="right" vertical="center"/>
    </xf>
    <xf numFmtId="0" fontId="35" fillId="0" borderId="4" xfId="0" applyFont="1" applyBorder="1" applyAlignment="1">
      <alignment horizontal="left" vertical="center"/>
    </xf>
    <xf numFmtId="169" fontId="27" fillId="9" borderId="4" xfId="0" applyNumberFormat="1" applyFont="1" applyFill="1" applyBorder="1" applyAlignment="1">
      <alignment horizontal="right" vertical="center"/>
    </xf>
    <xf numFmtId="169" fontId="27" fillId="10" borderId="4" xfId="0" applyNumberFormat="1" applyFont="1" applyFill="1" applyBorder="1" applyAlignment="1">
      <alignment horizontal="right" vertical="center"/>
    </xf>
    <xf numFmtId="3" fontId="31" fillId="9" borderId="4" xfId="0" applyNumberFormat="1" applyFont="1" applyFill="1" applyBorder="1" applyAlignment="1">
      <alignment horizontal="right" vertical="center"/>
    </xf>
    <xf numFmtId="3" fontId="31" fillId="10" borderId="4" xfId="0" applyNumberFormat="1" applyFont="1" applyFill="1" applyBorder="1" applyAlignment="1">
      <alignment horizontal="right" vertical="center"/>
    </xf>
    <xf numFmtId="0" fontId="36" fillId="14" borderId="4" xfId="0" applyFont="1" applyFill="1" applyBorder="1" applyAlignment="1">
      <alignment horizontal="left" vertical="center"/>
    </xf>
    <xf numFmtId="0" fontId="37" fillId="0" borderId="4" xfId="0" applyFont="1" applyBorder="1" applyAlignment="1">
      <alignment horizontal="left" vertical="center"/>
    </xf>
    <xf numFmtId="0" fontId="38" fillId="0" borderId="0" xfId="0" applyFont="1"/>
    <xf numFmtId="0" fontId="0" fillId="16" borderId="0" xfId="0" applyFill="1"/>
    <xf numFmtId="0" fontId="39" fillId="0" borderId="0" xfId="0" applyFont="1"/>
    <xf numFmtId="0" fontId="40" fillId="0" borderId="0" xfId="0" applyFont="1"/>
    <xf numFmtId="0" fontId="42" fillId="17" borderId="7" xfId="0" applyFont="1" applyFill="1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42" fillId="17" borderId="7" xfId="0" applyFont="1" applyFill="1" applyBorder="1"/>
    <xf numFmtId="0" fontId="0" fillId="0" borderId="7" xfId="0" applyBorder="1"/>
    <xf numFmtId="0" fontId="28" fillId="8" borderId="4" xfId="0" applyFont="1" applyFill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26" fillId="11" borderId="4" xfId="0" applyFont="1" applyFill="1" applyBorder="1" applyAlignment="1">
      <alignment horizontal="left" vertical="center"/>
    </xf>
    <xf numFmtId="0" fontId="26" fillId="11" borderId="4" xfId="0" applyFont="1" applyFill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38" fillId="15" borderId="0" xfId="0" applyFont="1" applyFill="1"/>
    <xf numFmtId="0" fontId="0" fillId="0" borderId="0" xfId="0"/>
    <xf numFmtId="0" fontId="28" fillId="11" borderId="4" xfId="0" applyFont="1" applyFill="1" applyBorder="1" applyAlignment="1">
      <alignment horizontal="left" vertical="center"/>
    </xf>
    <xf numFmtId="0" fontId="29" fillId="0" borderId="4" xfId="0" applyFont="1" applyBorder="1" applyAlignment="1">
      <alignment horizontal="left" vertical="center"/>
    </xf>
    <xf numFmtId="0" fontId="41" fillId="15" borderId="0" xfId="0" applyFont="1" applyFill="1"/>
    <xf numFmtId="0" fontId="0" fillId="0" borderId="0" xfId="0" applyAlignment="1">
      <alignment vertical="top" wrapText="1"/>
    </xf>
    <xf numFmtId="0" fontId="5" fillId="0" borderId="0" xfId="0" applyFont="1" applyAlignment="1">
      <alignment wrapText="1"/>
    </xf>
    <xf numFmtId="0" fontId="5" fillId="0" borderId="3" xfId="0" applyFont="1" applyBorder="1" applyAlignment="1">
      <alignment wrapText="1"/>
    </xf>
    <xf numFmtId="0" fontId="0" fillId="0" borderId="3" xfId="0" applyBorder="1"/>
    <xf numFmtId="0" fontId="13" fillId="0" borderId="0" xfId="0" applyFont="1"/>
    <xf numFmtId="0" fontId="14" fillId="4" borderId="0" xfId="0" applyFont="1" applyFill="1"/>
    <xf numFmtId="0" fontId="5" fillId="0" borderId="0" xfId="0" applyFont="1"/>
    <xf numFmtId="0" fontId="16" fillId="0" borderId="0" xfId="0" applyFont="1" applyAlignment="1">
      <alignment wrapText="1"/>
    </xf>
    <xf numFmtId="0" fontId="18" fillId="0" borderId="3" xfId="0" applyFont="1" applyBorder="1" applyAlignment="1">
      <alignment wrapText="1"/>
    </xf>
    <xf numFmtId="0" fontId="21" fillId="0" borderId="3" xfId="0" applyFont="1" applyBorder="1" applyAlignment="1">
      <alignment wrapText="1"/>
    </xf>
    <xf numFmtId="0" fontId="19" fillId="7" borderId="0" xfId="0" applyFont="1" applyFill="1"/>
    <xf numFmtId="0" fontId="20" fillId="6" borderId="0" xfId="0" applyFont="1" applyFill="1"/>
    <xf numFmtId="0" fontId="20" fillId="3" borderId="3" xfId="0" applyFont="1" applyFill="1" applyBorder="1"/>
    <xf numFmtId="0" fontId="23" fillId="2" borderId="0" xfId="0" applyFont="1" applyFill="1"/>
    <xf numFmtId="0" fontId="16" fillId="0" borderId="3" xfId="0" applyFont="1" applyBorder="1"/>
    <xf numFmtId="0" fontId="20" fillId="0" borderId="3" xfId="0" applyFont="1" applyBorder="1"/>
    <xf numFmtId="0" fontId="24" fillId="6" borderId="3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1"/>
  <sheetViews>
    <sheetView topLeftCell="A6" workbookViewId="0">
      <selection activeCell="H27" sqref="H27"/>
    </sheetView>
  </sheetViews>
  <sheetFormatPr defaultRowHeight="14.25" x14ac:dyDescent="0.45"/>
  <cols>
    <col min="1" max="1" width="35" customWidth="1"/>
    <col min="2" max="2" width="13" customWidth="1"/>
    <col min="10" max="10" width="70" customWidth="1"/>
  </cols>
  <sheetData>
    <row r="1" spans="1:10" ht="18" customHeight="1" x14ac:dyDescent="0.45">
      <c r="A1" s="132" t="s">
        <v>0</v>
      </c>
      <c r="B1" s="133"/>
      <c r="C1" s="133"/>
      <c r="D1" s="133"/>
      <c r="E1" s="133"/>
      <c r="F1" s="133"/>
      <c r="G1" s="133"/>
      <c r="H1" s="133"/>
      <c r="I1" s="133"/>
      <c r="J1" s="134"/>
    </row>
    <row r="2" spans="1:10" x14ac:dyDescent="0.45">
      <c r="A2" s="137" t="s">
        <v>1</v>
      </c>
      <c r="B2" s="133"/>
      <c r="C2" s="133"/>
      <c r="D2" s="133"/>
      <c r="E2" s="133"/>
      <c r="F2" s="133"/>
      <c r="G2" s="133"/>
      <c r="H2" s="133"/>
      <c r="I2" s="133"/>
      <c r="J2" s="134"/>
    </row>
    <row r="4" spans="1:10" x14ac:dyDescent="0.45">
      <c r="A4" s="75" t="s">
        <v>2</v>
      </c>
      <c r="B4" s="76" t="s">
        <v>3</v>
      </c>
      <c r="C4" s="76" t="s">
        <v>4</v>
      </c>
      <c r="D4" s="76" t="s">
        <v>5</v>
      </c>
      <c r="E4" s="76" t="s">
        <v>6</v>
      </c>
      <c r="F4" s="76" t="s">
        <v>7</v>
      </c>
      <c r="G4" s="77" t="s">
        <v>8</v>
      </c>
      <c r="H4" s="77" t="s">
        <v>9</v>
      </c>
      <c r="I4" s="77" t="s">
        <v>10</v>
      </c>
      <c r="J4" s="75" t="s">
        <v>11</v>
      </c>
    </row>
    <row r="6" spans="1:10" ht="15.75" customHeight="1" x14ac:dyDescent="0.45">
      <c r="A6" s="136" t="s">
        <v>12</v>
      </c>
      <c r="B6" s="133"/>
      <c r="C6" s="133"/>
      <c r="D6" s="133"/>
      <c r="E6" s="133"/>
      <c r="F6" s="133"/>
      <c r="G6" s="133"/>
      <c r="H6" s="133"/>
      <c r="I6" s="133"/>
      <c r="J6" s="134"/>
    </row>
    <row r="8" spans="1:10" x14ac:dyDescent="0.45">
      <c r="A8" s="78" t="s">
        <v>13</v>
      </c>
      <c r="B8" s="79">
        <v>95308</v>
      </c>
      <c r="C8" s="79">
        <v>110054</v>
      </c>
      <c r="D8" s="79">
        <v>125930</v>
      </c>
      <c r="E8" s="79">
        <v>152410</v>
      </c>
      <c r="F8" s="79">
        <v>169604</v>
      </c>
      <c r="J8" s="80" t="s">
        <v>14</v>
      </c>
    </row>
    <row r="9" spans="1:10" x14ac:dyDescent="0.45">
      <c r="A9" s="78" t="s">
        <v>15</v>
      </c>
      <c r="B9" s="81">
        <v>30.1</v>
      </c>
      <c r="C9" s="81">
        <v>32.6</v>
      </c>
      <c r="D9" s="81">
        <v>41.7</v>
      </c>
      <c r="E9" s="81">
        <v>45.893000000000001</v>
      </c>
      <c r="F9" s="81">
        <v>51.875999999999998</v>
      </c>
      <c r="J9" s="80" t="s">
        <v>16</v>
      </c>
    </row>
    <row r="10" spans="1:10" x14ac:dyDescent="0.45">
      <c r="A10" s="82" t="s">
        <v>17</v>
      </c>
      <c r="C10" s="83">
        <f>C8/B8-1</f>
        <v>0.15471943593402449</v>
      </c>
      <c r="D10" s="83">
        <f>D8/C8-1</f>
        <v>0.14425645592163838</v>
      </c>
      <c r="E10" s="83">
        <f>E8/D8-1</f>
        <v>0.21027554990867947</v>
      </c>
      <c r="F10" s="83">
        <f>F8/E8-1</f>
        <v>0.11281411980841161</v>
      </c>
      <c r="J10" s="80" t="s">
        <v>18</v>
      </c>
    </row>
    <row r="11" spans="1:10" x14ac:dyDescent="0.45">
      <c r="A11" s="78" t="s">
        <v>19</v>
      </c>
      <c r="B11" s="84">
        <v>0.68100000000000005</v>
      </c>
      <c r="C11" s="84">
        <v>0.70299999999999996</v>
      </c>
      <c r="D11" s="84">
        <v>0.73599999999999999</v>
      </c>
      <c r="E11" s="84">
        <v>0.79100000000000004</v>
      </c>
      <c r="F11" s="84">
        <v>0.76100000000000001</v>
      </c>
      <c r="J11" s="80" t="s">
        <v>20</v>
      </c>
    </row>
    <row r="12" spans="1:10" x14ac:dyDescent="0.45">
      <c r="A12" s="78" t="s">
        <v>21</v>
      </c>
      <c r="B12" s="84">
        <v>0.68100000000000005</v>
      </c>
      <c r="C12" s="84">
        <v>0.79100000000000004</v>
      </c>
      <c r="D12" s="84">
        <v>0.76100000000000001</v>
      </c>
      <c r="E12" s="84">
        <v>0.79100000000000004</v>
      </c>
      <c r="F12" s="84">
        <v>0.79100000000000004</v>
      </c>
      <c r="J12" s="80" t="s">
        <v>22</v>
      </c>
    </row>
    <row r="14" spans="1:10" ht="15.75" customHeight="1" x14ac:dyDescent="0.45">
      <c r="A14" s="135" t="s">
        <v>23</v>
      </c>
      <c r="B14" s="133"/>
      <c r="C14" s="133"/>
      <c r="D14" s="133"/>
      <c r="E14" s="133"/>
      <c r="F14" s="133"/>
      <c r="G14" s="133"/>
      <c r="H14" s="133"/>
      <c r="I14" s="133"/>
      <c r="J14" s="134"/>
    </row>
    <row r="16" spans="1:10" x14ac:dyDescent="0.45">
      <c r="A16" s="85" t="s">
        <v>24</v>
      </c>
      <c r="F16" s="75" t="s">
        <v>25</v>
      </c>
      <c r="G16" s="75" t="s">
        <v>8</v>
      </c>
      <c r="H16" s="75" t="s">
        <v>9</v>
      </c>
      <c r="I16" s="75" t="s">
        <v>10</v>
      </c>
      <c r="J16" s="75" t="s">
        <v>26</v>
      </c>
    </row>
    <row r="17" spans="1:10" x14ac:dyDescent="0.45">
      <c r="A17" s="86" t="s">
        <v>27</v>
      </c>
      <c r="F17" s="79">
        <v>125128</v>
      </c>
      <c r="G17" s="87">
        <v>141000</v>
      </c>
      <c r="H17" s="87">
        <v>155000</v>
      </c>
      <c r="I17" s="87">
        <v>169000</v>
      </c>
      <c r="J17" s="80" t="s">
        <v>28</v>
      </c>
    </row>
    <row r="18" spans="1:10" x14ac:dyDescent="0.45">
      <c r="A18" s="86" t="s">
        <v>29</v>
      </c>
      <c r="F18" s="79">
        <v>22750</v>
      </c>
      <c r="G18" s="87">
        <v>24500</v>
      </c>
      <c r="H18" s="87">
        <v>26000</v>
      </c>
      <c r="I18" s="87">
        <v>27500</v>
      </c>
      <c r="J18" s="80" t="s">
        <v>30</v>
      </c>
    </row>
    <row r="19" spans="1:10" x14ac:dyDescent="0.45">
      <c r="A19" s="86" t="s">
        <v>31</v>
      </c>
      <c r="F19" s="79">
        <v>15613</v>
      </c>
      <c r="G19" s="87">
        <v>17500</v>
      </c>
      <c r="H19" s="87">
        <v>19000</v>
      </c>
      <c r="I19" s="87">
        <v>20500</v>
      </c>
      <c r="J19" s="80" t="s">
        <v>32</v>
      </c>
    </row>
    <row r="20" spans="1:10" x14ac:dyDescent="0.45">
      <c r="A20" s="86" t="s">
        <v>33</v>
      </c>
      <c r="F20" s="79">
        <v>6111</v>
      </c>
      <c r="G20" s="87">
        <v>7000</v>
      </c>
      <c r="H20" s="87">
        <v>7650</v>
      </c>
      <c r="I20" s="87">
        <v>8000</v>
      </c>
      <c r="J20" s="80" t="s">
        <v>34</v>
      </c>
    </row>
    <row r="21" spans="1:10" x14ac:dyDescent="0.45">
      <c r="A21" s="88" t="s">
        <v>35</v>
      </c>
      <c r="F21" s="89">
        <f>SUM(F17:F20)</f>
        <v>169602</v>
      </c>
      <c r="G21" s="90">
        <f>SUM(G17:G20)</f>
        <v>190000</v>
      </c>
      <c r="H21" s="90">
        <f>SUM(H17:H20)</f>
        <v>207650</v>
      </c>
      <c r="I21" s="90">
        <f>SUM(I17:I20)</f>
        <v>225000</v>
      </c>
      <c r="J21" s="80" t="s">
        <v>36</v>
      </c>
    </row>
    <row r="22" spans="1:10" x14ac:dyDescent="0.45">
      <c r="A22" s="91" t="s">
        <v>37</v>
      </c>
      <c r="G22" s="92">
        <f>G21/F21-1</f>
        <v>0.12026980813905497</v>
      </c>
      <c r="H22" s="92">
        <f>H21/G21-1</f>
        <v>9.2894736842105363E-2</v>
      </c>
      <c r="I22" s="92">
        <f>I21/H21-1</f>
        <v>8.3554057307970053E-2</v>
      </c>
      <c r="J22" s="80" t="s">
        <v>38</v>
      </c>
    </row>
    <row r="24" spans="1:10" ht="15.75" customHeight="1" x14ac:dyDescent="0.45">
      <c r="A24" s="135" t="s">
        <v>39</v>
      </c>
      <c r="B24" s="133"/>
      <c r="C24" s="133"/>
      <c r="D24" s="133"/>
      <c r="E24" s="133"/>
      <c r="F24" s="133"/>
      <c r="G24" s="133"/>
      <c r="H24" s="133"/>
      <c r="I24" s="133"/>
      <c r="J24" s="134"/>
    </row>
    <row r="26" spans="1:10" x14ac:dyDescent="0.45">
      <c r="A26" s="85" t="s">
        <v>40</v>
      </c>
      <c r="F26" s="75" t="s">
        <v>25</v>
      </c>
      <c r="G26" s="75" t="s">
        <v>8</v>
      </c>
      <c r="H26" s="75" t="s">
        <v>9</v>
      </c>
      <c r="I26" s="75" t="s">
        <v>10</v>
      </c>
      <c r="J26" s="75" t="s">
        <v>41</v>
      </c>
    </row>
    <row r="27" spans="1:10" x14ac:dyDescent="0.45">
      <c r="A27" s="86" t="s">
        <v>42</v>
      </c>
      <c r="F27" s="93">
        <v>12.4</v>
      </c>
      <c r="G27" s="94">
        <v>16.2</v>
      </c>
      <c r="H27" s="94">
        <v>16.399999999999999</v>
      </c>
      <c r="I27" s="94">
        <v>16.600000000000001</v>
      </c>
      <c r="J27" s="80" t="s">
        <v>43</v>
      </c>
    </row>
    <row r="28" spans="1:10" x14ac:dyDescent="0.45">
      <c r="A28" s="86" t="s">
        <v>44</v>
      </c>
      <c r="F28" s="93">
        <v>39.5</v>
      </c>
      <c r="G28" s="94">
        <v>37.799999999999997</v>
      </c>
      <c r="H28" s="94">
        <v>42.1</v>
      </c>
      <c r="I28" s="94">
        <v>47.4</v>
      </c>
      <c r="J28" s="80" t="s">
        <v>45</v>
      </c>
    </row>
    <row r="29" spans="1:10" x14ac:dyDescent="0.45">
      <c r="A29" s="95" t="s">
        <v>46</v>
      </c>
      <c r="F29" s="96">
        <v>39.5</v>
      </c>
      <c r="G29" s="97">
        <f>(F27+F28)*0.78</f>
        <v>40.481999999999999</v>
      </c>
      <c r="H29" s="97">
        <f>(G27+G28)*0.8</f>
        <v>43.2</v>
      </c>
      <c r="I29" s="97">
        <f>(H27+H28)*0.82</f>
        <v>47.97</v>
      </c>
      <c r="J29" s="80" t="s">
        <v>47</v>
      </c>
    </row>
    <row r="30" spans="1:10" x14ac:dyDescent="0.45">
      <c r="A30" s="95" t="s">
        <v>48</v>
      </c>
      <c r="F30" s="96">
        <v>12.4</v>
      </c>
      <c r="G30" s="97">
        <f>F27+F28-G29</f>
        <v>11.417999999999999</v>
      </c>
      <c r="H30" s="97">
        <f>G27+G28-H29</f>
        <v>10.799999999999997</v>
      </c>
      <c r="I30" s="97">
        <f>H27+H28-I29</f>
        <v>10.530000000000001</v>
      </c>
      <c r="J30" s="80" t="s">
        <v>49</v>
      </c>
    </row>
    <row r="31" spans="1:10" x14ac:dyDescent="0.45">
      <c r="A31" s="88" t="s">
        <v>50</v>
      </c>
      <c r="F31" s="96">
        <f>F27+F28</f>
        <v>51.9</v>
      </c>
      <c r="G31" s="97">
        <f>G27+G28</f>
        <v>54</v>
      </c>
      <c r="H31" s="97">
        <f>H27+H28</f>
        <v>58.5</v>
      </c>
      <c r="I31" s="97">
        <f>I27+I28</f>
        <v>64</v>
      </c>
      <c r="J31" s="80" t="s">
        <v>51</v>
      </c>
    </row>
    <row r="33" spans="1:10" ht="15.75" customHeight="1" x14ac:dyDescent="0.45">
      <c r="A33" s="135" t="s">
        <v>52</v>
      </c>
      <c r="B33" s="133"/>
      <c r="C33" s="133"/>
      <c r="D33" s="133"/>
      <c r="E33" s="133"/>
      <c r="F33" s="133"/>
      <c r="G33" s="133"/>
      <c r="H33" s="133"/>
      <c r="I33" s="133"/>
      <c r="J33" s="134"/>
    </row>
    <row r="35" spans="1:10" x14ac:dyDescent="0.45">
      <c r="A35" s="85" t="s">
        <v>53</v>
      </c>
      <c r="F35" s="76" t="s">
        <v>7</v>
      </c>
      <c r="G35" s="77" t="s">
        <v>8</v>
      </c>
      <c r="H35" s="77" t="s">
        <v>9</v>
      </c>
      <c r="I35" s="77" t="s">
        <v>10</v>
      </c>
      <c r="J35" s="75" t="s">
        <v>54</v>
      </c>
    </row>
    <row r="36" spans="1:10" x14ac:dyDescent="0.45">
      <c r="A36" s="86" t="s">
        <v>55</v>
      </c>
      <c r="F36" s="84">
        <v>0.58199999999999996</v>
      </c>
      <c r="G36" s="98">
        <v>0.58499999999999996</v>
      </c>
      <c r="H36" s="98">
        <v>0.59799999999999998</v>
      </c>
      <c r="I36" s="98">
        <v>0.60499999999999998</v>
      </c>
      <c r="J36" s="80" t="s">
        <v>56</v>
      </c>
    </row>
    <row r="37" spans="1:10" x14ac:dyDescent="0.45">
      <c r="A37" s="86" t="s">
        <v>57</v>
      </c>
      <c r="F37" s="84">
        <v>0.19400000000000001</v>
      </c>
      <c r="G37" s="98">
        <v>0.19500000000000001</v>
      </c>
      <c r="H37" s="98">
        <v>0.193</v>
      </c>
      <c r="I37" s="98">
        <v>0.191</v>
      </c>
      <c r="J37" s="80" t="s">
        <v>58</v>
      </c>
    </row>
    <row r="38" spans="1:10" x14ac:dyDescent="0.45">
      <c r="A38" s="91" t="s">
        <v>59</v>
      </c>
      <c r="F38" s="83">
        <f>F36-F37</f>
        <v>0.38799999999999996</v>
      </c>
      <c r="G38" s="92">
        <f>G36-G37</f>
        <v>0.38999999999999996</v>
      </c>
      <c r="H38" s="92">
        <f>H36-H37</f>
        <v>0.40499999999999997</v>
      </c>
      <c r="I38" s="92">
        <f>I36-I37</f>
        <v>0.41399999999999998</v>
      </c>
      <c r="J38" s="80" t="s">
        <v>60</v>
      </c>
    </row>
    <row r="39" spans="1:10" x14ac:dyDescent="0.45">
      <c r="A39" s="86" t="s">
        <v>61</v>
      </c>
      <c r="F39" s="84">
        <v>0.26300000000000001</v>
      </c>
      <c r="G39" s="98">
        <v>0.26</v>
      </c>
      <c r="H39" s="98">
        <v>0.26</v>
      </c>
      <c r="I39" s="98">
        <v>0.25800000000000001</v>
      </c>
      <c r="J39" s="80" t="s">
        <v>62</v>
      </c>
    </row>
    <row r="41" spans="1:10" ht="15.75" customHeight="1" x14ac:dyDescent="0.45">
      <c r="A41" s="135" t="s">
        <v>63</v>
      </c>
      <c r="B41" s="133"/>
      <c r="C41" s="133"/>
      <c r="D41" s="133"/>
      <c r="E41" s="133"/>
      <c r="F41" s="133"/>
      <c r="G41" s="133"/>
      <c r="H41" s="133"/>
      <c r="I41" s="133"/>
      <c r="J41" s="134"/>
    </row>
    <row r="43" spans="1:10" x14ac:dyDescent="0.45">
      <c r="A43" s="99" t="s">
        <v>64</v>
      </c>
      <c r="F43" s="75" t="s">
        <v>65</v>
      </c>
      <c r="J43" s="75" t="s">
        <v>66</v>
      </c>
    </row>
    <row r="44" spans="1:10" x14ac:dyDescent="0.45">
      <c r="A44" s="86" t="s">
        <v>67</v>
      </c>
      <c r="F44" s="100">
        <v>0.01</v>
      </c>
      <c r="J44" s="80" t="s">
        <v>68</v>
      </c>
    </row>
    <row r="45" spans="1:10" x14ac:dyDescent="0.45">
      <c r="A45" s="86" t="s">
        <v>69</v>
      </c>
      <c r="F45" s="100">
        <v>5.5E-2</v>
      </c>
      <c r="J45" s="80" t="s">
        <v>70</v>
      </c>
    </row>
    <row r="46" spans="1:10" x14ac:dyDescent="0.45">
      <c r="A46" s="86" t="s">
        <v>71</v>
      </c>
      <c r="F46" s="101">
        <v>1.4</v>
      </c>
      <c r="J46" s="80" t="s">
        <v>72</v>
      </c>
    </row>
    <row r="47" spans="1:10" x14ac:dyDescent="0.45">
      <c r="A47" s="88" t="s">
        <v>73</v>
      </c>
      <c r="F47" s="102">
        <f>F44+(F45*F46)</f>
        <v>8.6999999999999994E-2</v>
      </c>
      <c r="J47" s="80" t="s">
        <v>74</v>
      </c>
    </row>
    <row r="48" spans="1:10" x14ac:dyDescent="0.45">
      <c r="A48" s="88" t="s">
        <v>75</v>
      </c>
      <c r="F48" s="103">
        <f>F47</f>
        <v>8.6999999999999994E-2</v>
      </c>
      <c r="J48" s="80" t="s">
        <v>76</v>
      </c>
    </row>
    <row r="49" spans="1:10" x14ac:dyDescent="0.45">
      <c r="A49" s="86" t="s">
        <v>77</v>
      </c>
      <c r="F49" s="104">
        <v>2.5000000000000001E-2</v>
      </c>
      <c r="J49" s="80" t="s">
        <v>78</v>
      </c>
    </row>
    <row r="51" spans="1:10" x14ac:dyDescent="0.45">
      <c r="A51" s="138" t="s">
        <v>79</v>
      </c>
      <c r="B51" s="139"/>
      <c r="C51" s="139"/>
      <c r="D51" s="139"/>
      <c r="E51" s="139"/>
      <c r="F51" s="139"/>
      <c r="G51" s="139"/>
      <c r="H51" s="139"/>
      <c r="I51" s="139"/>
      <c r="J51" s="139"/>
    </row>
    <row r="53" spans="1:10" x14ac:dyDescent="0.45">
      <c r="A53" s="124" t="s">
        <v>80</v>
      </c>
      <c r="F53" s="124" t="s">
        <v>65</v>
      </c>
      <c r="J53" s="124" t="s">
        <v>81</v>
      </c>
    </row>
    <row r="54" spans="1:10" x14ac:dyDescent="0.45">
      <c r="A54" t="s">
        <v>82</v>
      </c>
      <c r="F54" s="125">
        <v>2843</v>
      </c>
      <c r="J54" t="s">
        <v>83</v>
      </c>
    </row>
    <row r="55" spans="1:10" x14ac:dyDescent="0.45">
      <c r="A55" t="s">
        <v>84</v>
      </c>
      <c r="F55">
        <v>533000</v>
      </c>
      <c r="J55" t="s">
        <v>85</v>
      </c>
    </row>
    <row r="56" spans="1:10" x14ac:dyDescent="0.45">
      <c r="A56" t="s">
        <v>86</v>
      </c>
      <c r="F56">
        <f>F54*F55/1000</f>
        <v>1515319</v>
      </c>
      <c r="J56" t="s">
        <v>87</v>
      </c>
    </row>
    <row r="57" spans="1:10" x14ac:dyDescent="0.45">
      <c r="A57" t="s">
        <v>88</v>
      </c>
      <c r="F57" s="125">
        <v>97000</v>
      </c>
      <c r="J57" t="s">
        <v>89</v>
      </c>
    </row>
    <row r="58" spans="1:10" x14ac:dyDescent="0.45">
      <c r="A58" t="s">
        <v>90</v>
      </c>
      <c r="F58">
        <f>F56-F57</f>
        <v>1418319</v>
      </c>
      <c r="J58" t="s">
        <v>91</v>
      </c>
    </row>
    <row r="59" spans="1:10" x14ac:dyDescent="0.45">
      <c r="A59" t="s">
        <v>92</v>
      </c>
      <c r="F59">
        <f>F46</f>
        <v>1.4</v>
      </c>
      <c r="J59" t="s">
        <v>93</v>
      </c>
    </row>
    <row r="60" spans="1:10" x14ac:dyDescent="0.45">
      <c r="A60" t="s">
        <v>94</v>
      </c>
      <c r="F60" s="125">
        <v>1.2E-2</v>
      </c>
      <c r="J60" t="s">
        <v>95</v>
      </c>
    </row>
    <row r="61" spans="1:10" x14ac:dyDescent="0.45">
      <c r="A61" t="s">
        <v>96</v>
      </c>
      <c r="F61">
        <f>F21</f>
        <v>169602</v>
      </c>
      <c r="J61" t="s">
        <v>97</v>
      </c>
    </row>
  </sheetData>
  <mergeCells count="8">
    <mergeCell ref="A41:J41"/>
    <mergeCell ref="A33:J33"/>
    <mergeCell ref="A51:J51"/>
    <mergeCell ref="A1:J1"/>
    <mergeCell ref="A14:J14"/>
    <mergeCell ref="A6:J6"/>
    <mergeCell ref="A24:J24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7"/>
  <sheetViews>
    <sheetView workbookViewId="0">
      <selection sqref="A1:I1"/>
    </sheetView>
  </sheetViews>
  <sheetFormatPr defaultRowHeight="14.25" x14ac:dyDescent="0.45"/>
  <cols>
    <col min="1" max="1" width="35" customWidth="1"/>
    <col min="2" max="2" width="14" customWidth="1"/>
  </cols>
  <sheetData>
    <row r="1" spans="1:9" ht="18" customHeight="1" x14ac:dyDescent="0.45">
      <c r="A1" s="140" t="s">
        <v>98</v>
      </c>
      <c r="B1" s="133"/>
      <c r="C1" s="133"/>
      <c r="D1" s="133"/>
      <c r="E1" s="133"/>
      <c r="F1" s="133"/>
      <c r="G1" s="133"/>
      <c r="H1" s="133"/>
      <c r="I1" s="134"/>
    </row>
    <row r="2" spans="1:9" x14ac:dyDescent="0.45">
      <c r="A2" s="141" t="s">
        <v>99</v>
      </c>
      <c r="B2" s="133"/>
      <c r="C2" s="133"/>
      <c r="D2" s="133"/>
      <c r="E2" s="133"/>
      <c r="F2" s="133"/>
      <c r="G2" s="133"/>
      <c r="H2" s="133"/>
      <c r="I2" s="134"/>
    </row>
    <row r="4" spans="1:9" x14ac:dyDescent="0.45">
      <c r="A4" s="85" t="s">
        <v>100</v>
      </c>
      <c r="B4" s="105" t="s">
        <v>3</v>
      </c>
      <c r="C4" s="105" t="s">
        <v>4</v>
      </c>
      <c r="D4" s="105" t="s">
        <v>5</v>
      </c>
      <c r="E4" s="105" t="s">
        <v>6</v>
      </c>
      <c r="F4" s="105" t="s">
        <v>7</v>
      </c>
      <c r="G4" s="106" t="s">
        <v>8</v>
      </c>
      <c r="H4" s="106" t="s">
        <v>9</v>
      </c>
      <c r="I4" s="106" t="s">
        <v>10</v>
      </c>
    </row>
    <row r="6" spans="1:9" x14ac:dyDescent="0.45">
      <c r="A6" s="107" t="s">
        <v>101</v>
      </c>
      <c r="B6" s="108">
        <v>95308</v>
      </c>
      <c r="C6" s="108">
        <v>110054</v>
      </c>
      <c r="D6" s="108">
        <v>125930</v>
      </c>
      <c r="E6" s="108">
        <v>152410</v>
      </c>
      <c r="F6" s="108">
        <v>169604</v>
      </c>
      <c r="G6" s="109">
        <f>Assumptions!G21</f>
        <v>190000</v>
      </c>
      <c r="H6" s="109">
        <f>Assumptions!H21</f>
        <v>207650</v>
      </c>
      <c r="I6" s="109">
        <f>Assumptions!I21</f>
        <v>225000</v>
      </c>
    </row>
    <row r="7" spans="1:9" x14ac:dyDescent="0.45">
      <c r="A7" s="110" t="s">
        <v>102</v>
      </c>
      <c r="C7" s="111">
        <f t="shared" ref="C7:I7" si="0">C6/B6-1</f>
        <v>0.15471943593402449</v>
      </c>
      <c r="D7" s="111">
        <f t="shared" si="0"/>
        <v>0.14425645592163838</v>
      </c>
      <c r="E7" s="111">
        <f t="shared" si="0"/>
        <v>0.21027554990867947</v>
      </c>
      <c r="F7" s="111">
        <f t="shared" si="0"/>
        <v>0.11281411980841161</v>
      </c>
      <c r="G7" s="112">
        <f t="shared" si="0"/>
        <v>0.12025659772175179</v>
      </c>
      <c r="H7" s="112">
        <f t="shared" si="0"/>
        <v>9.2894736842105363E-2</v>
      </c>
      <c r="I7" s="112">
        <f t="shared" si="0"/>
        <v>8.3554057307970053E-2</v>
      </c>
    </row>
    <row r="8" spans="1:9" x14ac:dyDescent="0.45">
      <c r="A8" s="95"/>
    </row>
    <row r="9" spans="1:9" x14ac:dyDescent="0.45">
      <c r="A9" s="95" t="s">
        <v>103</v>
      </c>
      <c r="B9" s="108">
        <v>-42567</v>
      </c>
      <c r="C9" s="108">
        <v>-48736</v>
      </c>
      <c r="D9" s="108">
        <v>-52130</v>
      </c>
      <c r="E9" s="108">
        <v>-67750</v>
      </c>
      <c r="F9" s="108">
        <v>-70901</v>
      </c>
      <c r="G9" s="113">
        <f>-G6*(1-Assumptions!G36)</f>
        <v>-78850</v>
      </c>
      <c r="H9" s="113">
        <f>-H6*(1-Assumptions!H36)</f>
        <v>-83475.3</v>
      </c>
      <c r="I9" s="113">
        <f>-I6*(1-Assumptions!I36)</f>
        <v>-88875</v>
      </c>
    </row>
    <row r="10" spans="1:9" x14ac:dyDescent="0.45">
      <c r="A10" s="107" t="s">
        <v>104</v>
      </c>
      <c r="B10" s="108">
        <f t="shared" ref="B10:I10" si="1">B6+B9</f>
        <v>52741</v>
      </c>
      <c r="C10" s="108">
        <f t="shared" si="1"/>
        <v>61318</v>
      </c>
      <c r="D10" s="108">
        <f t="shared" si="1"/>
        <v>73800</v>
      </c>
      <c r="E10" s="108">
        <f t="shared" si="1"/>
        <v>84660</v>
      </c>
      <c r="F10" s="108">
        <f t="shared" si="1"/>
        <v>98703</v>
      </c>
      <c r="G10" s="113">
        <f t="shared" si="1"/>
        <v>111150</v>
      </c>
      <c r="H10" s="113">
        <f t="shared" si="1"/>
        <v>124174.7</v>
      </c>
      <c r="I10" s="113">
        <f t="shared" si="1"/>
        <v>136125</v>
      </c>
    </row>
    <row r="11" spans="1:9" x14ac:dyDescent="0.45">
      <c r="A11" s="110" t="s">
        <v>55</v>
      </c>
      <c r="B11" s="111">
        <f t="shared" ref="B11:I11" si="2">B10/B6</f>
        <v>0.55337432324673685</v>
      </c>
      <c r="C11" s="111">
        <f t="shared" si="2"/>
        <v>0.55716284732949284</v>
      </c>
      <c r="D11" s="111">
        <f t="shared" si="2"/>
        <v>0.58603986341618364</v>
      </c>
      <c r="E11" s="111">
        <f t="shared" si="2"/>
        <v>0.55547536250902174</v>
      </c>
      <c r="F11" s="111">
        <f t="shared" si="2"/>
        <v>0.58196151034173726</v>
      </c>
      <c r="G11" s="112">
        <f t="shared" si="2"/>
        <v>0.58499999999999996</v>
      </c>
      <c r="H11" s="112">
        <f t="shared" si="2"/>
        <v>0.59799999999999998</v>
      </c>
      <c r="I11" s="112">
        <f t="shared" si="2"/>
        <v>0.60499999999999998</v>
      </c>
    </row>
    <row r="12" spans="1:9" x14ac:dyDescent="0.45">
      <c r="A12" s="95"/>
    </row>
    <row r="13" spans="1:9" x14ac:dyDescent="0.45">
      <c r="A13" s="95" t="s">
        <v>105</v>
      </c>
      <c r="B13" s="108">
        <v>-18145</v>
      </c>
      <c r="C13" s="108">
        <v>-18408</v>
      </c>
      <c r="D13" s="108">
        <v>-23000</v>
      </c>
      <c r="E13" s="108">
        <v>-27564</v>
      </c>
      <c r="F13" s="108">
        <v>-32969</v>
      </c>
      <c r="G13" s="113">
        <f>-G6*Assumptions!G37</f>
        <v>-37050</v>
      </c>
      <c r="H13" s="113">
        <f>-H6*Assumptions!H37</f>
        <v>-40076.450000000004</v>
      </c>
      <c r="I13" s="113">
        <f>-I6*Assumptions!I37</f>
        <v>-42975</v>
      </c>
    </row>
    <row r="14" spans="1:9" ht="15.75" customHeight="1" x14ac:dyDescent="0.45">
      <c r="A14" s="114" t="s">
        <v>106</v>
      </c>
      <c r="B14" s="115">
        <f t="shared" ref="B14:I14" si="3">B10+B13</f>
        <v>34596</v>
      </c>
      <c r="C14" s="115">
        <f t="shared" si="3"/>
        <v>42910</v>
      </c>
      <c r="D14" s="115">
        <f t="shared" si="3"/>
        <v>50800</v>
      </c>
      <c r="E14" s="115">
        <f t="shared" si="3"/>
        <v>57096</v>
      </c>
      <c r="F14" s="115">
        <f t="shared" si="3"/>
        <v>65734</v>
      </c>
      <c r="G14" s="116">
        <f t="shared" si="3"/>
        <v>74100</v>
      </c>
      <c r="H14" s="116">
        <f t="shared" si="3"/>
        <v>84098.25</v>
      </c>
      <c r="I14" s="116">
        <f t="shared" si="3"/>
        <v>93150</v>
      </c>
    </row>
    <row r="15" spans="1:9" x14ac:dyDescent="0.45">
      <c r="A15" s="117" t="s">
        <v>107</v>
      </c>
      <c r="B15" s="118">
        <f t="shared" ref="B15:I15" si="4">B14/B6</f>
        <v>0.36299156419188316</v>
      </c>
      <c r="C15" s="118">
        <f t="shared" si="4"/>
        <v>0.38989950387991351</v>
      </c>
      <c r="D15" s="118">
        <f t="shared" si="4"/>
        <v>0.40339871357103152</v>
      </c>
      <c r="E15" s="118">
        <f t="shared" si="4"/>
        <v>0.3746210878551276</v>
      </c>
      <c r="F15" s="118">
        <f t="shared" si="4"/>
        <v>0.38757340628758757</v>
      </c>
      <c r="G15" s="119">
        <f t="shared" si="4"/>
        <v>0.39</v>
      </c>
      <c r="H15" s="119">
        <f t="shared" si="4"/>
        <v>0.40500000000000003</v>
      </c>
      <c r="I15" s="119">
        <f t="shared" si="4"/>
        <v>0.41399999999999998</v>
      </c>
    </row>
    <row r="16" spans="1:9" x14ac:dyDescent="0.45">
      <c r="A16" s="95"/>
    </row>
    <row r="17" spans="1:9" x14ac:dyDescent="0.45">
      <c r="A17" s="95" t="s">
        <v>108</v>
      </c>
      <c r="B17" s="120">
        <v>-9</v>
      </c>
      <c r="C17" s="120">
        <v>-9</v>
      </c>
      <c r="D17" s="120">
        <v>0</v>
      </c>
      <c r="E17" s="120">
        <v>600</v>
      </c>
      <c r="F17" s="120">
        <v>1200</v>
      </c>
      <c r="G17" s="121">
        <v>600</v>
      </c>
      <c r="H17" s="121">
        <v>700</v>
      </c>
      <c r="I17" s="121">
        <v>800</v>
      </c>
    </row>
    <row r="18" spans="1:9" x14ac:dyDescent="0.45">
      <c r="A18" s="91" t="s">
        <v>109</v>
      </c>
      <c r="B18" s="115">
        <f t="shared" ref="B18:I18" si="5">B14+B17</f>
        <v>34587</v>
      </c>
      <c r="C18" s="115">
        <f t="shared" si="5"/>
        <v>42901</v>
      </c>
      <c r="D18" s="115">
        <f t="shared" si="5"/>
        <v>50800</v>
      </c>
      <c r="E18" s="115">
        <f t="shared" si="5"/>
        <v>57696</v>
      </c>
      <c r="F18" s="115">
        <f t="shared" si="5"/>
        <v>66934</v>
      </c>
      <c r="G18" s="116">
        <f t="shared" si="5"/>
        <v>74700</v>
      </c>
      <c r="H18" s="116">
        <f t="shared" si="5"/>
        <v>84798.25</v>
      </c>
      <c r="I18" s="116">
        <f t="shared" si="5"/>
        <v>93950</v>
      </c>
    </row>
    <row r="19" spans="1:9" x14ac:dyDescent="0.45">
      <c r="A19" s="95" t="s">
        <v>110</v>
      </c>
      <c r="B19" s="108">
        <v>-11768</v>
      </c>
      <c r="C19" s="108">
        <v>-11768</v>
      </c>
      <c r="D19" s="108">
        <v>-14075</v>
      </c>
      <c r="E19" s="108">
        <v>-13706</v>
      </c>
      <c r="F19" s="108">
        <v>-17151</v>
      </c>
      <c r="G19" s="113">
        <f>-G18*Assumptions!G39</f>
        <v>-19422</v>
      </c>
      <c r="H19" s="113">
        <f>-H18*Assumptions!H39</f>
        <v>-22047.545000000002</v>
      </c>
      <c r="I19" s="113">
        <f>-I18*Assumptions!I39</f>
        <v>-24239.100000000002</v>
      </c>
    </row>
    <row r="20" spans="1:9" x14ac:dyDescent="0.45">
      <c r="A20" s="95"/>
    </row>
    <row r="21" spans="1:9" ht="16.899999999999999" customHeight="1" x14ac:dyDescent="0.45">
      <c r="A21" s="122" t="s">
        <v>111</v>
      </c>
      <c r="B21" s="115">
        <f t="shared" ref="B21:I21" si="6">B18+B19</f>
        <v>22819</v>
      </c>
      <c r="C21" s="115">
        <f t="shared" si="6"/>
        <v>31133</v>
      </c>
      <c r="D21" s="115">
        <f t="shared" si="6"/>
        <v>36725</v>
      </c>
      <c r="E21" s="115">
        <f t="shared" si="6"/>
        <v>43990</v>
      </c>
      <c r="F21" s="115">
        <f t="shared" si="6"/>
        <v>49783</v>
      </c>
      <c r="G21" s="116">
        <f t="shared" si="6"/>
        <v>55278</v>
      </c>
      <c r="H21" s="116">
        <f t="shared" si="6"/>
        <v>62750.705000000002</v>
      </c>
      <c r="I21" s="116">
        <f t="shared" si="6"/>
        <v>69710.899999999994</v>
      </c>
    </row>
    <row r="22" spans="1:9" x14ac:dyDescent="0.45">
      <c r="A22" s="117" t="s">
        <v>112</v>
      </c>
      <c r="B22" s="118">
        <f t="shared" ref="B22:I22" si="7">B21/B6</f>
        <v>0.23942376295798884</v>
      </c>
      <c r="C22" s="118">
        <f t="shared" si="7"/>
        <v>0.28288840023988227</v>
      </c>
      <c r="D22" s="118">
        <f t="shared" si="7"/>
        <v>0.29163027078535697</v>
      </c>
      <c r="E22" s="118">
        <f t="shared" si="7"/>
        <v>0.28862935502919757</v>
      </c>
      <c r="F22" s="118">
        <f t="shared" si="7"/>
        <v>0.29352491686516829</v>
      </c>
      <c r="G22" s="119">
        <f t="shared" si="7"/>
        <v>0.29093684210526316</v>
      </c>
      <c r="H22" s="119">
        <f t="shared" si="7"/>
        <v>0.30219458222971346</v>
      </c>
      <c r="I22" s="119">
        <f t="shared" si="7"/>
        <v>0.30982622222222217</v>
      </c>
    </row>
    <row r="24" spans="1:9" x14ac:dyDescent="0.45">
      <c r="A24" t="s">
        <v>113</v>
      </c>
      <c r="B24">
        <v>5500</v>
      </c>
      <c r="C24">
        <v>5800</v>
      </c>
      <c r="D24">
        <v>6100</v>
      </c>
      <c r="E24">
        <v>6500</v>
      </c>
      <c r="F24">
        <v>7000</v>
      </c>
      <c r="G24">
        <v>7500</v>
      </c>
      <c r="H24">
        <v>8000</v>
      </c>
      <c r="I24">
        <v>8500</v>
      </c>
    </row>
    <row r="26" spans="1:9" x14ac:dyDescent="0.45">
      <c r="A26" t="s">
        <v>114</v>
      </c>
      <c r="B26">
        <f t="shared" ref="B26:I26" si="8">B14+B24</f>
        <v>40096</v>
      </c>
      <c r="C26">
        <f t="shared" si="8"/>
        <v>48710</v>
      </c>
      <c r="D26">
        <f t="shared" si="8"/>
        <v>56900</v>
      </c>
      <c r="E26">
        <f t="shared" si="8"/>
        <v>63596</v>
      </c>
      <c r="F26">
        <f t="shared" si="8"/>
        <v>72734</v>
      </c>
      <c r="G26">
        <f t="shared" si="8"/>
        <v>81600</v>
      </c>
      <c r="H26">
        <f t="shared" si="8"/>
        <v>92098.25</v>
      </c>
      <c r="I26">
        <f t="shared" si="8"/>
        <v>101650</v>
      </c>
    </row>
    <row r="27" spans="1:9" x14ac:dyDescent="0.45">
      <c r="A27" t="s">
        <v>115</v>
      </c>
      <c r="B27">
        <f t="shared" ref="B27:I27" si="9">B26/B6</f>
        <v>0.42069920678222184</v>
      </c>
      <c r="C27">
        <f t="shared" si="9"/>
        <v>0.44260090501026766</v>
      </c>
      <c r="D27">
        <f t="shared" si="9"/>
        <v>0.45183832287778924</v>
      </c>
      <c r="E27">
        <f t="shared" si="9"/>
        <v>0.41726920805721407</v>
      </c>
      <c r="F27">
        <f t="shared" si="9"/>
        <v>0.42884601778259945</v>
      </c>
      <c r="G27">
        <f t="shared" si="9"/>
        <v>0.42947368421052634</v>
      </c>
      <c r="H27">
        <f t="shared" si="9"/>
        <v>0.44352636648206117</v>
      </c>
      <c r="I27">
        <f t="shared" si="9"/>
        <v>0.45177777777777778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5"/>
  <sheetViews>
    <sheetView tabSelected="1" workbookViewId="0">
      <selection sqref="A1:E1"/>
    </sheetView>
  </sheetViews>
  <sheetFormatPr defaultRowHeight="14.25" x14ac:dyDescent="0.45"/>
  <cols>
    <col min="1" max="1" width="30" customWidth="1"/>
    <col min="2" max="2" width="57.3984375" customWidth="1"/>
  </cols>
  <sheetData>
    <row r="1" spans="1:5" ht="15.75" customHeight="1" x14ac:dyDescent="0.45">
      <c r="A1" s="135" t="s">
        <v>116</v>
      </c>
      <c r="B1" s="133"/>
      <c r="C1" s="133"/>
      <c r="D1" s="133"/>
      <c r="E1" s="134"/>
    </row>
    <row r="3" spans="1:5" x14ac:dyDescent="0.45">
      <c r="A3" s="91" t="s">
        <v>117</v>
      </c>
      <c r="B3" s="95"/>
    </row>
    <row r="4" spans="1:5" x14ac:dyDescent="0.45">
      <c r="A4" s="123" t="s">
        <v>118</v>
      </c>
      <c r="B4" s="95" t="s">
        <v>119</v>
      </c>
    </row>
    <row r="5" spans="1:5" x14ac:dyDescent="0.45">
      <c r="A5" s="123"/>
      <c r="B5" s="95" t="s">
        <v>120</v>
      </c>
    </row>
    <row r="6" spans="1:5" x14ac:dyDescent="0.45">
      <c r="A6" s="123"/>
      <c r="B6" s="95" t="s">
        <v>121</v>
      </c>
    </row>
    <row r="7" spans="1:5" x14ac:dyDescent="0.45">
      <c r="A7" s="123"/>
      <c r="B7" s="95" t="s">
        <v>122</v>
      </c>
    </row>
    <row r="8" spans="1:5" x14ac:dyDescent="0.45">
      <c r="A8" s="91"/>
      <c r="B8" s="95"/>
    </row>
    <row r="9" spans="1:5" x14ac:dyDescent="0.45">
      <c r="A9" s="123" t="s">
        <v>123</v>
      </c>
      <c r="B9" s="95" t="s">
        <v>124</v>
      </c>
    </row>
    <row r="10" spans="1:5" x14ac:dyDescent="0.45">
      <c r="A10" s="123"/>
      <c r="B10" s="95" t="s">
        <v>125</v>
      </c>
    </row>
    <row r="11" spans="1:5" x14ac:dyDescent="0.45">
      <c r="A11" s="123"/>
      <c r="B11" s="95" t="s">
        <v>126</v>
      </c>
    </row>
    <row r="12" spans="1:5" x14ac:dyDescent="0.45">
      <c r="A12" s="123"/>
      <c r="B12" s="95" t="s">
        <v>127</v>
      </c>
    </row>
    <row r="13" spans="1:5" x14ac:dyDescent="0.45">
      <c r="A13" s="123"/>
      <c r="B13" s="95" t="s">
        <v>128</v>
      </c>
    </row>
    <row r="14" spans="1:5" x14ac:dyDescent="0.45">
      <c r="A14" s="123"/>
      <c r="B14" s="95" t="s">
        <v>129</v>
      </c>
    </row>
    <row r="15" spans="1:5" x14ac:dyDescent="0.45">
      <c r="A15" s="123"/>
      <c r="B15" s="95" t="s">
        <v>130</v>
      </c>
    </row>
    <row r="16" spans="1:5" x14ac:dyDescent="0.45">
      <c r="A16" s="123"/>
      <c r="B16" s="95" t="s">
        <v>131</v>
      </c>
    </row>
    <row r="17" spans="1:2" x14ac:dyDescent="0.45">
      <c r="A17" s="123"/>
      <c r="B17" s="95" t="s">
        <v>132</v>
      </c>
    </row>
    <row r="18" spans="1:2" x14ac:dyDescent="0.45">
      <c r="A18" s="123"/>
      <c r="B18" s="95" t="s">
        <v>133</v>
      </c>
    </row>
    <row r="19" spans="1:2" x14ac:dyDescent="0.45">
      <c r="A19" s="91"/>
      <c r="B19" s="95"/>
    </row>
    <row r="20" spans="1:2" x14ac:dyDescent="0.45">
      <c r="A20" s="123" t="s">
        <v>134</v>
      </c>
      <c r="B20" s="95" t="s">
        <v>135</v>
      </c>
    </row>
    <row r="21" spans="1:2" x14ac:dyDescent="0.45">
      <c r="A21" s="123"/>
      <c r="B21" s="95" t="s">
        <v>136</v>
      </c>
    </row>
    <row r="22" spans="1:2" x14ac:dyDescent="0.45">
      <c r="A22" s="123"/>
      <c r="B22" s="95" t="s">
        <v>137</v>
      </c>
    </row>
    <row r="23" spans="1:2" x14ac:dyDescent="0.45">
      <c r="A23" s="123"/>
      <c r="B23" s="95" t="s">
        <v>138</v>
      </c>
    </row>
    <row r="24" spans="1:2" x14ac:dyDescent="0.45">
      <c r="A24" s="123"/>
      <c r="B24" s="95" t="s">
        <v>139</v>
      </c>
    </row>
    <row r="25" spans="1:2" x14ac:dyDescent="0.45">
      <c r="A25" s="91"/>
      <c r="B25" s="95"/>
    </row>
    <row r="26" spans="1:2" x14ac:dyDescent="0.45">
      <c r="A26" s="123" t="s">
        <v>140</v>
      </c>
      <c r="B26" s="95" t="s">
        <v>141</v>
      </c>
    </row>
    <row r="27" spans="1:2" x14ac:dyDescent="0.45">
      <c r="A27" s="123"/>
      <c r="B27" s="95" t="s">
        <v>142</v>
      </c>
    </row>
    <row r="28" spans="1:2" x14ac:dyDescent="0.45">
      <c r="A28" s="123"/>
      <c r="B28" s="95" t="s">
        <v>143</v>
      </c>
    </row>
    <row r="29" spans="1:2" x14ac:dyDescent="0.45">
      <c r="A29" s="123"/>
      <c r="B29" s="95" t="s">
        <v>144</v>
      </c>
    </row>
    <row r="30" spans="1:2" x14ac:dyDescent="0.45">
      <c r="A30" s="123"/>
      <c r="B30" s="95" t="s">
        <v>145</v>
      </c>
    </row>
    <row r="31" spans="1:2" x14ac:dyDescent="0.45">
      <c r="A31" s="123"/>
      <c r="B31" s="95" t="s">
        <v>146</v>
      </c>
    </row>
    <row r="32" spans="1:2" x14ac:dyDescent="0.45">
      <c r="A32" s="123"/>
      <c r="B32" s="95" t="s">
        <v>147</v>
      </c>
    </row>
    <row r="33" spans="1:2" x14ac:dyDescent="0.45">
      <c r="A33" s="123"/>
      <c r="B33" s="95" t="s">
        <v>148</v>
      </c>
    </row>
    <row r="34" spans="1:2" x14ac:dyDescent="0.45">
      <c r="A34" s="91"/>
      <c r="B34" s="95"/>
    </row>
    <row r="35" spans="1:2" x14ac:dyDescent="0.45">
      <c r="A35" s="123" t="s">
        <v>149</v>
      </c>
      <c r="B35" s="95" t="s">
        <v>150</v>
      </c>
    </row>
    <row r="36" spans="1:2" x14ac:dyDescent="0.45">
      <c r="A36" s="123"/>
      <c r="B36" s="95" t="s">
        <v>151</v>
      </c>
    </row>
    <row r="37" spans="1:2" x14ac:dyDescent="0.45">
      <c r="A37" s="123"/>
      <c r="B37" s="95" t="s">
        <v>152</v>
      </c>
    </row>
    <row r="38" spans="1:2" x14ac:dyDescent="0.45">
      <c r="A38" s="123"/>
      <c r="B38" s="95" t="s">
        <v>153</v>
      </c>
    </row>
    <row r="39" spans="1:2" x14ac:dyDescent="0.45">
      <c r="A39" s="123"/>
      <c r="B39" s="95" t="s">
        <v>154</v>
      </c>
    </row>
    <row r="40" spans="1:2" x14ac:dyDescent="0.45">
      <c r="A40" s="123"/>
      <c r="B40" s="95" t="s">
        <v>155</v>
      </c>
    </row>
    <row r="41" spans="1:2" x14ac:dyDescent="0.45">
      <c r="A41" s="91"/>
      <c r="B41" s="95"/>
    </row>
    <row r="42" spans="1:2" x14ac:dyDescent="0.45">
      <c r="A42" s="91" t="s">
        <v>156</v>
      </c>
      <c r="B42" s="95"/>
    </row>
    <row r="43" spans="1:2" x14ac:dyDescent="0.45">
      <c r="A43" s="123" t="s">
        <v>157</v>
      </c>
      <c r="B43" s="95" t="s">
        <v>158</v>
      </c>
    </row>
    <row r="44" spans="1:2" x14ac:dyDescent="0.45">
      <c r="A44" s="123"/>
      <c r="B44" s="95" t="s">
        <v>159</v>
      </c>
    </row>
    <row r="45" spans="1:2" x14ac:dyDescent="0.45">
      <c r="A45" s="123"/>
      <c r="B45" s="95" t="s">
        <v>160</v>
      </c>
    </row>
    <row r="46" spans="1:2" x14ac:dyDescent="0.45">
      <c r="A46" s="123"/>
      <c r="B46" s="95" t="s">
        <v>161</v>
      </c>
    </row>
    <row r="47" spans="1:2" x14ac:dyDescent="0.45">
      <c r="A47" s="123"/>
      <c r="B47" s="95" t="s">
        <v>162</v>
      </c>
    </row>
    <row r="48" spans="1:2" x14ac:dyDescent="0.45">
      <c r="A48" s="123"/>
      <c r="B48" s="95" t="s">
        <v>163</v>
      </c>
    </row>
    <row r="49" spans="1:2" x14ac:dyDescent="0.45">
      <c r="A49" s="123"/>
      <c r="B49" s="95" t="s">
        <v>164</v>
      </c>
    </row>
    <row r="50" spans="1:2" x14ac:dyDescent="0.45">
      <c r="A50" s="91"/>
      <c r="B50" s="95"/>
    </row>
    <row r="51" spans="1:2" x14ac:dyDescent="0.45">
      <c r="A51" s="123" t="s">
        <v>165</v>
      </c>
      <c r="B51" s="95" t="s">
        <v>166</v>
      </c>
    </row>
    <row r="52" spans="1:2" x14ac:dyDescent="0.45">
      <c r="A52" s="123"/>
      <c r="B52" s="95" t="s">
        <v>167</v>
      </c>
    </row>
    <row r="53" spans="1:2" x14ac:dyDescent="0.45">
      <c r="A53" s="123"/>
      <c r="B53" s="95" t="s">
        <v>168</v>
      </c>
    </row>
    <row r="54" spans="1:2" x14ac:dyDescent="0.45">
      <c r="A54" s="123"/>
      <c r="B54" s="95" t="s">
        <v>169</v>
      </c>
    </row>
    <row r="55" spans="1:2" x14ac:dyDescent="0.45">
      <c r="A55" s="123"/>
      <c r="B55" s="95" t="s">
        <v>170</v>
      </c>
    </row>
    <row r="56" spans="1:2" x14ac:dyDescent="0.45">
      <c r="A56" s="123"/>
      <c r="B56" s="95" t="s">
        <v>171</v>
      </c>
    </row>
    <row r="57" spans="1:2" x14ac:dyDescent="0.45">
      <c r="A57" s="123"/>
      <c r="B57" s="95" t="s">
        <v>172</v>
      </c>
    </row>
    <row r="58" spans="1:2" x14ac:dyDescent="0.45">
      <c r="A58" s="91"/>
      <c r="B58" s="95"/>
    </row>
    <row r="59" spans="1:2" x14ac:dyDescent="0.45">
      <c r="A59" s="91" t="s">
        <v>173</v>
      </c>
      <c r="B59" s="95"/>
    </row>
    <row r="60" spans="1:2" x14ac:dyDescent="0.45">
      <c r="A60" s="123" t="s">
        <v>174</v>
      </c>
      <c r="B60" s="95" t="s">
        <v>175</v>
      </c>
    </row>
    <row r="61" spans="1:2" x14ac:dyDescent="0.45">
      <c r="A61" s="123" t="s">
        <v>176</v>
      </c>
      <c r="B61" s="95" t="s">
        <v>177</v>
      </c>
    </row>
    <row r="62" spans="1:2" x14ac:dyDescent="0.45">
      <c r="A62" s="123" t="s">
        <v>178</v>
      </c>
      <c r="B62" s="95" t="s">
        <v>179</v>
      </c>
    </row>
    <row r="63" spans="1:2" x14ac:dyDescent="0.45">
      <c r="A63" s="123" t="s">
        <v>180</v>
      </c>
      <c r="B63" s="95" t="s">
        <v>181</v>
      </c>
    </row>
    <row r="64" spans="1:2" x14ac:dyDescent="0.45">
      <c r="A64" s="123" t="s">
        <v>182</v>
      </c>
      <c r="B64" s="95" t="s">
        <v>183</v>
      </c>
    </row>
    <row r="65" spans="1:2" x14ac:dyDescent="0.45">
      <c r="A65" s="91"/>
      <c r="B65" s="95"/>
    </row>
    <row r="66" spans="1:2" x14ac:dyDescent="0.45">
      <c r="A66" s="91" t="s">
        <v>184</v>
      </c>
      <c r="B66" s="95"/>
    </row>
    <row r="67" spans="1:2" x14ac:dyDescent="0.45">
      <c r="A67" s="123" t="s">
        <v>185</v>
      </c>
      <c r="B67" s="95" t="s">
        <v>186</v>
      </c>
    </row>
    <row r="68" spans="1:2" x14ac:dyDescent="0.45">
      <c r="A68" s="123"/>
      <c r="B68" s="95" t="s">
        <v>187</v>
      </c>
    </row>
    <row r="69" spans="1:2" x14ac:dyDescent="0.45">
      <c r="A69" s="123"/>
      <c r="B69" s="95" t="s">
        <v>188</v>
      </c>
    </row>
    <row r="70" spans="1:2" x14ac:dyDescent="0.45">
      <c r="A70" s="123" t="s">
        <v>189</v>
      </c>
      <c r="B70" s="95" t="s">
        <v>190</v>
      </c>
    </row>
    <row r="71" spans="1:2" x14ac:dyDescent="0.45">
      <c r="A71" s="123"/>
      <c r="B71" s="95" t="s">
        <v>191</v>
      </c>
    </row>
    <row r="72" spans="1:2" x14ac:dyDescent="0.45">
      <c r="A72" s="123"/>
      <c r="B72" s="95" t="s">
        <v>192</v>
      </c>
    </row>
    <row r="73" spans="1:2" x14ac:dyDescent="0.45">
      <c r="A73" s="91"/>
      <c r="B73" s="95"/>
    </row>
    <row r="74" spans="1:2" x14ac:dyDescent="0.45">
      <c r="A74" s="91" t="s">
        <v>193</v>
      </c>
      <c r="B74" s="95"/>
    </row>
    <row r="75" spans="1:2" x14ac:dyDescent="0.45">
      <c r="A75" s="123" t="s">
        <v>194</v>
      </c>
      <c r="B75" s="95" t="s">
        <v>195</v>
      </c>
    </row>
    <row r="76" spans="1:2" x14ac:dyDescent="0.45">
      <c r="A76" s="123"/>
      <c r="B76" s="95" t="s">
        <v>196</v>
      </c>
    </row>
    <row r="77" spans="1:2" x14ac:dyDescent="0.45">
      <c r="A77" s="123"/>
      <c r="B77" s="95" t="s">
        <v>197</v>
      </c>
    </row>
    <row r="78" spans="1:2" x14ac:dyDescent="0.45">
      <c r="A78" s="123"/>
      <c r="B78" s="95" t="s">
        <v>198</v>
      </c>
    </row>
    <row r="79" spans="1:2" x14ac:dyDescent="0.45">
      <c r="A79" s="123" t="s">
        <v>199</v>
      </c>
      <c r="B79" s="95" t="s">
        <v>200</v>
      </c>
    </row>
    <row r="80" spans="1:2" x14ac:dyDescent="0.45">
      <c r="A80" s="123"/>
      <c r="B80" s="95" t="s">
        <v>201</v>
      </c>
    </row>
    <row r="81" spans="1:2" x14ac:dyDescent="0.45">
      <c r="A81" s="123"/>
      <c r="B81" s="95" t="s">
        <v>202</v>
      </c>
    </row>
    <row r="82" spans="1:2" x14ac:dyDescent="0.45">
      <c r="A82" s="123"/>
      <c r="B82" s="95" t="s">
        <v>203</v>
      </c>
    </row>
    <row r="83" spans="1:2" x14ac:dyDescent="0.45">
      <c r="A83" s="123" t="s">
        <v>204</v>
      </c>
      <c r="B83" s="95" t="s">
        <v>205</v>
      </c>
    </row>
    <row r="84" spans="1:2" x14ac:dyDescent="0.45">
      <c r="A84" s="123"/>
      <c r="B84" s="95" t="s">
        <v>206</v>
      </c>
    </row>
    <row r="85" spans="1:2" x14ac:dyDescent="0.45">
      <c r="A85" s="123"/>
      <c r="B85" s="95" t="s">
        <v>207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6"/>
  <sheetViews>
    <sheetView workbookViewId="0"/>
  </sheetViews>
  <sheetFormatPr defaultRowHeight="14.25" x14ac:dyDescent="0.45"/>
  <cols>
    <col min="1" max="1" width="38" customWidth="1"/>
    <col min="2" max="2" width="16" customWidth="1"/>
  </cols>
  <sheetData>
    <row r="1" spans="1:5" ht="17.25" customHeight="1" x14ac:dyDescent="0.5">
      <c r="A1" s="1" t="s">
        <v>208</v>
      </c>
    </row>
    <row r="2" spans="1:5" ht="15" customHeight="1" x14ac:dyDescent="0.45">
      <c r="A2" s="2" t="s">
        <v>209</v>
      </c>
    </row>
    <row r="4" spans="1:5" ht="15" customHeight="1" x14ac:dyDescent="0.45">
      <c r="A4" s="3"/>
      <c r="B4" s="3" t="s">
        <v>4</v>
      </c>
      <c r="C4" s="3" t="s">
        <v>5</v>
      </c>
      <c r="D4" s="3" t="s">
        <v>6</v>
      </c>
      <c r="E4" s="3" t="s">
        <v>7</v>
      </c>
    </row>
    <row r="6" spans="1:5" ht="15" customHeight="1" x14ac:dyDescent="0.45">
      <c r="A6" s="4" t="s">
        <v>210</v>
      </c>
    </row>
    <row r="7" spans="1:5" ht="15" customHeight="1" x14ac:dyDescent="0.45">
      <c r="A7" s="5" t="s">
        <v>211</v>
      </c>
      <c r="B7" s="6">
        <v>89470</v>
      </c>
      <c r="C7" s="6">
        <v>95635</v>
      </c>
      <c r="D7" s="6">
        <v>109091</v>
      </c>
      <c r="E7" s="6">
        <v>150426</v>
      </c>
    </row>
    <row r="8" spans="1:5" ht="15" customHeight="1" x14ac:dyDescent="0.45">
      <c r="A8" s="5" t="s">
        <v>212</v>
      </c>
      <c r="B8" s="6">
        <v>77600</v>
      </c>
      <c r="C8" s="6">
        <v>82324</v>
      </c>
      <c r="D8" s="6">
        <v>103917</v>
      </c>
      <c r="E8" s="6">
        <v>128857</v>
      </c>
    </row>
    <row r="9" spans="1:5" ht="15" customHeight="1" x14ac:dyDescent="0.45">
      <c r="A9" s="15" t="s">
        <v>213</v>
      </c>
      <c r="B9" s="17">
        <f>B7+B8</f>
        <v>167070</v>
      </c>
      <c r="C9" s="17">
        <f>C7+C8</f>
        <v>177959</v>
      </c>
      <c r="D9" s="17">
        <f>D7+D8</f>
        <v>213008</v>
      </c>
      <c r="E9" s="17">
        <f>E7+E8</f>
        <v>279283</v>
      </c>
    </row>
    <row r="10" spans="1:5" ht="15" customHeight="1" x14ac:dyDescent="0.45">
      <c r="A10" s="5" t="s">
        <v>214</v>
      </c>
      <c r="B10" s="6">
        <v>18200</v>
      </c>
      <c r="C10" s="6">
        <v>20500</v>
      </c>
      <c r="D10" s="6">
        <v>22000</v>
      </c>
      <c r="E10" s="6">
        <v>25000</v>
      </c>
    </row>
    <row r="11" spans="1:5" ht="15" customHeight="1" x14ac:dyDescent="0.45">
      <c r="A11" s="5" t="s">
        <v>215</v>
      </c>
      <c r="B11" s="6">
        <v>1747</v>
      </c>
      <c r="C11" s="6">
        <v>1630</v>
      </c>
      <c r="D11" s="6">
        <v>1444</v>
      </c>
      <c r="E11" s="6">
        <v>1436</v>
      </c>
    </row>
    <row r="12" spans="1:5" ht="15" customHeight="1" x14ac:dyDescent="0.45">
      <c r="A12" s="5" t="s">
        <v>216</v>
      </c>
      <c r="B12" s="6">
        <v>348</v>
      </c>
      <c r="C12" s="6">
        <v>6276</v>
      </c>
      <c r="D12" s="6">
        <v>7024</v>
      </c>
      <c r="E12" s="6">
        <v>7263</v>
      </c>
    </row>
    <row r="13" spans="1:5" ht="15" customHeight="1" x14ac:dyDescent="0.45">
      <c r="A13" s="15" t="s">
        <v>217</v>
      </c>
      <c r="B13" s="17">
        <f>B10+B11+B12</f>
        <v>20295</v>
      </c>
      <c r="C13" s="17">
        <f>C10+C11+C12</f>
        <v>28406</v>
      </c>
      <c r="D13" s="17">
        <f>D10+D11+D12</f>
        <v>30468</v>
      </c>
      <c r="E13" s="17">
        <f>E10+E11+E12</f>
        <v>33699</v>
      </c>
    </row>
    <row r="14" spans="1:5" ht="15" customHeight="1" x14ac:dyDescent="0.45">
      <c r="A14" s="15" t="s">
        <v>218</v>
      </c>
      <c r="B14" s="19">
        <f>B9+B13</f>
        <v>187365</v>
      </c>
      <c r="C14" s="19">
        <f>C9+C13</f>
        <v>206365</v>
      </c>
      <c r="D14" s="19">
        <f>D9+D13</f>
        <v>243476</v>
      </c>
      <c r="E14" s="19">
        <f>E9+E13</f>
        <v>312982</v>
      </c>
    </row>
    <row r="16" spans="1:5" ht="15" customHeight="1" x14ac:dyDescent="0.45">
      <c r="A16" s="4" t="s">
        <v>219</v>
      </c>
    </row>
    <row r="17" spans="1:5" ht="15" customHeight="1" x14ac:dyDescent="0.45">
      <c r="A17" s="5" t="s">
        <v>220</v>
      </c>
      <c r="B17" s="6">
        <v>46495</v>
      </c>
      <c r="C17" s="6">
        <v>52376</v>
      </c>
      <c r="D17" s="6">
        <v>48395</v>
      </c>
      <c r="E17" s="6">
        <v>57600</v>
      </c>
    </row>
    <row r="18" spans="1:5" ht="15" customHeight="1" x14ac:dyDescent="0.45">
      <c r="A18" s="5" t="s">
        <v>221</v>
      </c>
      <c r="B18" s="6">
        <v>6105</v>
      </c>
      <c r="C18" s="6">
        <v>3860</v>
      </c>
      <c r="D18" s="6">
        <v>7841</v>
      </c>
      <c r="E18" s="6">
        <v>29079</v>
      </c>
    </row>
    <row r="19" spans="1:5" ht="15" customHeight="1" x14ac:dyDescent="0.45">
      <c r="A19" s="15" t="s">
        <v>222</v>
      </c>
      <c r="B19" s="17">
        <f>B17+B18</f>
        <v>52600</v>
      </c>
      <c r="C19" s="17">
        <f>C17+C18</f>
        <v>56236</v>
      </c>
      <c r="D19" s="17">
        <f>D17+D18</f>
        <v>56236</v>
      </c>
      <c r="E19" s="17">
        <f>E17+E18</f>
        <v>86679</v>
      </c>
    </row>
    <row r="20" spans="1:5" ht="15" customHeight="1" x14ac:dyDescent="0.45">
      <c r="A20" s="15" t="s">
        <v>223</v>
      </c>
      <c r="B20" s="20">
        <v>146475</v>
      </c>
      <c r="C20" s="20">
        <v>161129</v>
      </c>
      <c r="D20" s="20">
        <v>195081</v>
      </c>
      <c r="E20" s="20">
        <v>226303</v>
      </c>
    </row>
    <row r="21" spans="1:5" ht="15" customHeight="1" x14ac:dyDescent="0.45">
      <c r="A21" s="15" t="s">
        <v>224</v>
      </c>
      <c r="B21" s="19">
        <f>B19+B20</f>
        <v>199075</v>
      </c>
      <c r="C21" s="19">
        <f>C19+C20</f>
        <v>217365</v>
      </c>
      <c r="D21" s="19">
        <f>D19+D20</f>
        <v>251317</v>
      </c>
      <c r="E21" s="19">
        <f>E19+E20</f>
        <v>312982</v>
      </c>
    </row>
    <row r="23" spans="1:5" ht="15" customHeight="1" x14ac:dyDescent="0.45">
      <c r="A23" s="4" t="s">
        <v>225</v>
      </c>
    </row>
    <row r="24" spans="1:5" ht="15" customHeight="1" x14ac:dyDescent="0.45">
      <c r="A24" s="5" t="s">
        <v>226</v>
      </c>
      <c r="B24" s="11">
        <f>B20/B14</f>
        <v>0.78176286926587146</v>
      </c>
      <c r="C24" s="11">
        <f>C20/C14</f>
        <v>0.78079616213989778</v>
      </c>
      <c r="D24" s="11">
        <f>D20/D14</f>
        <v>0.8012329757347747</v>
      </c>
      <c r="E24" s="11">
        <f>E20/E14</f>
        <v>0.72305436095366504</v>
      </c>
    </row>
    <row r="25" spans="1:5" ht="15" customHeight="1" x14ac:dyDescent="0.45">
      <c r="A25" s="5" t="s">
        <v>227</v>
      </c>
      <c r="B25" s="8">
        <f>B7-B18</f>
        <v>83365</v>
      </c>
      <c r="C25" s="8">
        <f>C7-C18</f>
        <v>91775</v>
      </c>
      <c r="D25" s="8">
        <f>D7-D18</f>
        <v>101250</v>
      </c>
      <c r="E25" s="8">
        <f>E7-E18</f>
        <v>121347</v>
      </c>
    </row>
    <row r="26" spans="1:5" ht="15" customHeight="1" x14ac:dyDescent="0.45">
      <c r="A26" s="5" t="s">
        <v>228</v>
      </c>
      <c r="C26" s="11">
        <f>'Income Statement'!D21/AVERAGE(B20,C20)</f>
        <v>0.23878103015565466</v>
      </c>
      <c r="D26" s="11">
        <f>'Income Statement'!E21/AVERAGE(C20,D20)</f>
        <v>0.24698913562224531</v>
      </c>
      <c r="E26" s="11">
        <f>'Income Statement'!F21/AVERAGE(D20,E20)</f>
        <v>0.23628329504679818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9"/>
  <sheetViews>
    <sheetView workbookViewId="0">
      <selection activeCell="G6" sqref="G6"/>
    </sheetView>
  </sheetViews>
  <sheetFormatPr defaultRowHeight="14.25" x14ac:dyDescent="0.45"/>
  <cols>
    <col min="1" max="1" width="38" customWidth="1"/>
    <col min="2" max="2" width="16" customWidth="1"/>
  </cols>
  <sheetData>
    <row r="1" spans="1:9" ht="17.25" customHeight="1" x14ac:dyDescent="0.5">
      <c r="A1" s="1" t="s">
        <v>229</v>
      </c>
    </row>
    <row r="2" spans="1:9" ht="15" customHeight="1" x14ac:dyDescent="0.45">
      <c r="A2" s="2" t="s">
        <v>99</v>
      </c>
    </row>
    <row r="4" spans="1:9" ht="15" customHeight="1" x14ac:dyDescent="0.45">
      <c r="A4" s="3"/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230</v>
      </c>
      <c r="H4" s="3" t="s">
        <v>231</v>
      </c>
      <c r="I4" t="s">
        <v>232</v>
      </c>
    </row>
    <row r="6" spans="1:9" ht="15" customHeight="1" x14ac:dyDescent="0.45">
      <c r="A6" s="15" t="s">
        <v>233</v>
      </c>
      <c r="B6" s="20">
        <v>46947</v>
      </c>
      <c r="C6" s="20">
        <v>21789</v>
      </c>
      <c r="D6" s="20">
        <v>36921</v>
      </c>
      <c r="E6" s="20">
        <v>67618</v>
      </c>
      <c r="F6" s="20">
        <v>58049</v>
      </c>
      <c r="G6" s="21">
        <f>'Income Statement'!G21+'Income Statement'!G24+5000</f>
        <v>67778</v>
      </c>
      <c r="H6" s="21">
        <f>'Income Statement'!H21+'Income Statement'!H24+3000</f>
        <v>73750.705000000002</v>
      </c>
      <c r="I6">
        <f>'Income Statement'!I21+'Income Statement'!I24+2000</f>
        <v>80210.899999999994</v>
      </c>
    </row>
    <row r="8" spans="1:9" ht="15" customHeight="1" x14ac:dyDescent="0.45">
      <c r="A8" s="5" t="s">
        <v>234</v>
      </c>
      <c r="B8" s="6">
        <v>-4067</v>
      </c>
      <c r="C8" s="6">
        <v>-7415</v>
      </c>
      <c r="D8" s="6">
        <v>-5135</v>
      </c>
      <c r="E8" s="6">
        <v>-6277</v>
      </c>
      <c r="F8" s="6">
        <v>-14436</v>
      </c>
      <c r="G8" s="6">
        <v>-15000</v>
      </c>
      <c r="H8" s="6">
        <v>-12000</v>
      </c>
      <c r="I8">
        <v>-12000</v>
      </c>
    </row>
    <row r="9" spans="1:9" ht="15" customHeight="1" x14ac:dyDescent="0.45">
      <c r="A9" s="5" t="s">
        <v>235</v>
      </c>
      <c r="B9" s="6">
        <v>-3359</v>
      </c>
      <c r="C9" s="6">
        <v>-264</v>
      </c>
      <c r="D9" s="6">
        <v>-827</v>
      </c>
      <c r="E9" s="6">
        <v>-997</v>
      </c>
      <c r="F9" s="6">
        <v>-26405</v>
      </c>
      <c r="G9" s="6">
        <v>-5000</v>
      </c>
      <c r="H9" s="6">
        <v>-3000</v>
      </c>
      <c r="I9">
        <v>-2000</v>
      </c>
    </row>
    <row r="10" spans="1:9" ht="15" customHeight="1" x14ac:dyDescent="0.45">
      <c r="A10" s="15" t="s">
        <v>236</v>
      </c>
      <c r="B10" s="17">
        <f t="shared" ref="B10:I10" si="0">B8+B9</f>
        <v>-7426</v>
      </c>
      <c r="C10" s="17">
        <f t="shared" si="0"/>
        <v>-7679</v>
      </c>
      <c r="D10" s="17">
        <f t="shared" si="0"/>
        <v>-5962</v>
      </c>
      <c r="E10" s="17">
        <f t="shared" si="0"/>
        <v>-7274</v>
      </c>
      <c r="F10" s="17">
        <f t="shared" si="0"/>
        <v>-40841</v>
      </c>
      <c r="G10" s="17">
        <f t="shared" si="0"/>
        <v>-20000</v>
      </c>
      <c r="H10" s="17">
        <f t="shared" si="0"/>
        <v>-15000</v>
      </c>
      <c r="I10">
        <f t="shared" si="0"/>
        <v>-14000</v>
      </c>
    </row>
    <row r="12" spans="1:9" ht="15" customHeight="1" x14ac:dyDescent="0.45">
      <c r="A12" s="5" t="s">
        <v>237</v>
      </c>
      <c r="B12" s="6">
        <v>-5200</v>
      </c>
      <c r="C12" s="6">
        <v>-7686</v>
      </c>
      <c r="D12" s="6">
        <v>-9670</v>
      </c>
      <c r="E12" s="6">
        <v>-11396</v>
      </c>
      <c r="F12" s="6">
        <v>-16835</v>
      </c>
      <c r="G12" s="6">
        <v>-18000</v>
      </c>
      <c r="H12" s="6">
        <v>-20000</v>
      </c>
      <c r="I12">
        <v>-22000</v>
      </c>
    </row>
    <row r="13" spans="1:9" ht="15" customHeight="1" x14ac:dyDescent="0.45">
      <c r="A13" s="5" t="s">
        <v>238</v>
      </c>
      <c r="B13" s="6">
        <v>-4780</v>
      </c>
      <c r="C13" s="6">
        <v>-14799</v>
      </c>
      <c r="D13" s="6">
        <v>-6299</v>
      </c>
      <c r="E13" s="6">
        <v>-7339</v>
      </c>
      <c r="F13" s="6">
        <v>-8501</v>
      </c>
      <c r="G13" s="6">
        <v>-5000</v>
      </c>
      <c r="H13" s="6">
        <v>-5000</v>
      </c>
      <c r="I13">
        <v>-5000</v>
      </c>
    </row>
    <row r="14" spans="1:9" ht="15" customHeight="1" x14ac:dyDescent="0.45">
      <c r="A14" s="15" t="s">
        <v>239</v>
      </c>
      <c r="B14" s="17">
        <f t="shared" ref="B14:I14" si="1">B12+B13</f>
        <v>-9980</v>
      </c>
      <c r="C14" s="17">
        <f t="shared" si="1"/>
        <v>-22485</v>
      </c>
      <c r="D14" s="17">
        <f t="shared" si="1"/>
        <v>-15969</v>
      </c>
      <c r="E14" s="17">
        <f t="shared" si="1"/>
        <v>-18735</v>
      </c>
      <c r="F14" s="17">
        <f t="shared" si="1"/>
        <v>-25336</v>
      </c>
      <c r="G14" s="17">
        <f t="shared" si="1"/>
        <v>-23000</v>
      </c>
      <c r="H14" s="17">
        <f t="shared" si="1"/>
        <v>-25000</v>
      </c>
      <c r="I14">
        <f t="shared" si="1"/>
        <v>-27000</v>
      </c>
    </row>
    <row r="16" spans="1:9" ht="15" customHeight="1" x14ac:dyDescent="0.45">
      <c r="A16" s="15" t="s">
        <v>240</v>
      </c>
      <c r="B16" s="19">
        <f t="shared" ref="B16:I16" si="2">B6+B8</f>
        <v>42880</v>
      </c>
      <c r="C16" s="19">
        <f t="shared" si="2"/>
        <v>14374</v>
      </c>
      <c r="D16" s="19">
        <f t="shared" si="2"/>
        <v>31786</v>
      </c>
      <c r="E16" s="19">
        <f t="shared" si="2"/>
        <v>61341</v>
      </c>
      <c r="F16" s="19">
        <f t="shared" si="2"/>
        <v>43613</v>
      </c>
      <c r="G16" s="19">
        <f t="shared" si="2"/>
        <v>52778</v>
      </c>
      <c r="H16" s="19">
        <f t="shared" si="2"/>
        <v>61750.705000000002</v>
      </c>
      <c r="I16">
        <f t="shared" si="2"/>
        <v>68210.899999999994</v>
      </c>
    </row>
    <row r="17" spans="1:9" ht="15" customHeight="1" x14ac:dyDescent="0.45">
      <c r="A17" s="12" t="s">
        <v>241</v>
      </c>
      <c r="B17" s="11">
        <f>B16/'Income Statement'!B6</f>
        <v>0.44990976623158602</v>
      </c>
      <c r="C17" s="11">
        <f>C16/'Income Statement'!C6</f>
        <v>0.13060861031857088</v>
      </c>
      <c r="D17" s="11">
        <f>D16/'Income Statement'!D6</f>
        <v>0.25241006908600017</v>
      </c>
      <c r="E17" s="11">
        <f>E16/'Income Statement'!E6</f>
        <v>0.40247359097172103</v>
      </c>
      <c r="F17" s="11">
        <f>F16/'Income Statement'!F6</f>
        <v>0.25714605787599348</v>
      </c>
      <c r="G17" s="22">
        <f>G16/'Income Statement'!G6</f>
        <v>0.27777894736842107</v>
      </c>
      <c r="H17" s="22">
        <f>H16/'Income Statement'!H6</f>
        <v>0.29737878641945581</v>
      </c>
      <c r="I17">
        <f>I16/'Income Statement'!I6</f>
        <v>0.30315955555555552</v>
      </c>
    </row>
    <row r="19" spans="1:9" ht="15" customHeight="1" x14ac:dyDescent="0.45">
      <c r="A19" s="5" t="s">
        <v>242</v>
      </c>
      <c r="B19" s="8">
        <f t="shared" ref="B19:I19" si="3">B6+B10+B14</f>
        <v>29541</v>
      </c>
      <c r="C19" s="8">
        <f t="shared" si="3"/>
        <v>-8375</v>
      </c>
      <c r="D19" s="8">
        <f t="shared" si="3"/>
        <v>14990</v>
      </c>
      <c r="E19" s="8">
        <f t="shared" si="3"/>
        <v>41609</v>
      </c>
      <c r="F19" s="8">
        <f t="shared" si="3"/>
        <v>-8128</v>
      </c>
      <c r="G19" s="8">
        <f t="shared" si="3"/>
        <v>24778</v>
      </c>
      <c r="H19" s="8">
        <f t="shared" si="3"/>
        <v>33750.705000000002</v>
      </c>
      <c r="I19">
        <f t="shared" si="3"/>
        <v>39210.899999999994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7"/>
  <sheetViews>
    <sheetView workbookViewId="0"/>
  </sheetViews>
  <sheetFormatPr defaultRowHeight="14.25" x14ac:dyDescent="0.45"/>
  <cols>
    <col min="1" max="1" width="38" customWidth="1"/>
    <col min="2" max="2" width="16" customWidth="1"/>
  </cols>
  <sheetData>
    <row r="1" spans="1:5" ht="17.25" customHeight="1" x14ac:dyDescent="0.5">
      <c r="A1" s="1" t="s">
        <v>243</v>
      </c>
    </row>
    <row r="2" spans="1:5" ht="15" customHeight="1" x14ac:dyDescent="0.45">
      <c r="A2" s="2" t="s">
        <v>244</v>
      </c>
    </row>
    <row r="4" spans="1:5" ht="15" customHeight="1" x14ac:dyDescent="0.45">
      <c r="A4" s="4" t="s">
        <v>245</v>
      </c>
    </row>
    <row r="5" spans="1:5" ht="15" customHeight="1" x14ac:dyDescent="0.45">
      <c r="A5" s="3"/>
      <c r="B5" s="3" t="s">
        <v>230</v>
      </c>
      <c r="C5" s="3" t="s">
        <v>231</v>
      </c>
      <c r="D5" s="3" t="s">
        <v>232</v>
      </c>
      <c r="E5" s="3" t="s">
        <v>246</v>
      </c>
    </row>
    <row r="7" spans="1:5" ht="15" customHeight="1" x14ac:dyDescent="0.45">
      <c r="A7" s="5" t="s">
        <v>247</v>
      </c>
      <c r="B7" s="16">
        <f>'Cash Flow'!G16</f>
        <v>52778</v>
      </c>
      <c r="C7" s="16">
        <f>'Cash Flow'!H16</f>
        <v>61750.705000000002</v>
      </c>
      <c r="D7" s="16">
        <f>'Cash Flow'!I16</f>
        <v>68210.899999999994</v>
      </c>
    </row>
    <row r="8" spans="1:5" ht="15" customHeight="1" x14ac:dyDescent="0.45">
      <c r="A8" s="5" t="s">
        <v>248</v>
      </c>
      <c r="E8" s="8">
        <f>D7*(1+Assumptions!F49)/(Assumptions!F48-Assumptions!F49)</f>
        <v>1127680.201612903</v>
      </c>
    </row>
    <row r="9" spans="1:5" ht="15" customHeight="1" x14ac:dyDescent="0.45">
      <c r="A9" s="5" t="s">
        <v>249</v>
      </c>
      <c r="B9" s="22">
        <f>Assumptions!F48</f>
        <v>8.6999999999999994E-2</v>
      </c>
    </row>
    <row r="10" spans="1:5" ht="15" customHeight="1" x14ac:dyDescent="0.45">
      <c r="A10" s="5" t="s">
        <v>250</v>
      </c>
      <c r="B10" s="23">
        <f>1/(1+B9)^1</f>
        <v>0.91996320147194111</v>
      </c>
      <c r="C10" s="23">
        <f>1/(1+B9)^2</f>
        <v>0.84633229206250338</v>
      </c>
      <c r="D10" s="23">
        <f>1/(1+B9)^3</f>
        <v>0.77859456491490653</v>
      </c>
      <c r="E10" s="23">
        <f>1/(1+B9)^3</f>
        <v>0.77859456491490653</v>
      </c>
    </row>
    <row r="11" spans="1:5" ht="15" customHeight="1" x14ac:dyDescent="0.45">
      <c r="A11" s="5" t="s">
        <v>251</v>
      </c>
      <c r="B11" s="8">
        <f>B7*B10</f>
        <v>48553.817847286111</v>
      </c>
      <c r="C11" s="8">
        <f>C7*C10</f>
        <v>52261.61569912549</v>
      </c>
      <c r="D11" s="8">
        <f>D7*D10</f>
        <v>53108.636007954192</v>
      </c>
      <c r="E11" s="8">
        <f>E8*E10</f>
        <v>878005.67593795236</v>
      </c>
    </row>
    <row r="13" spans="1:5" ht="15" customHeight="1" x14ac:dyDescent="0.45">
      <c r="A13" s="15" t="s">
        <v>252</v>
      </c>
      <c r="B13" s="18">
        <f>SUM(B11:D11)</f>
        <v>153924.06955436579</v>
      </c>
    </row>
    <row r="14" spans="1:5" ht="15" customHeight="1" x14ac:dyDescent="0.45">
      <c r="A14" s="15" t="s">
        <v>253</v>
      </c>
      <c r="B14" s="18">
        <f>E11</f>
        <v>878005.67593795236</v>
      </c>
    </row>
    <row r="15" spans="1:5" ht="15" customHeight="1" x14ac:dyDescent="0.45">
      <c r="A15" s="15" t="s">
        <v>254</v>
      </c>
      <c r="B15" s="17">
        <f>B13+B14</f>
        <v>1031929.7454923182</v>
      </c>
    </row>
    <row r="16" spans="1:5" ht="15" customHeight="1" x14ac:dyDescent="0.45">
      <c r="A16" s="5" t="s">
        <v>255</v>
      </c>
      <c r="B16" s="16">
        <f>Assumptions!F57</f>
        <v>97000</v>
      </c>
    </row>
    <row r="17" spans="1:4" ht="15" customHeight="1" x14ac:dyDescent="0.45">
      <c r="A17" s="15" t="s">
        <v>256</v>
      </c>
      <c r="B17" s="19">
        <f>B15+B16</f>
        <v>1128929.7454923182</v>
      </c>
    </row>
    <row r="18" spans="1:4" ht="15" customHeight="1" x14ac:dyDescent="0.45">
      <c r="A18" s="5" t="s">
        <v>84</v>
      </c>
      <c r="B18" s="16">
        <f>Assumptions!F55</f>
        <v>533000</v>
      </c>
    </row>
    <row r="19" spans="1:4" ht="15" customHeight="1" x14ac:dyDescent="0.45">
      <c r="A19" s="15" t="s">
        <v>257</v>
      </c>
      <c r="B19" s="24">
        <f>B17*1000/B18</f>
        <v>2118.0670647135425</v>
      </c>
    </row>
    <row r="20" spans="1:4" ht="15" customHeight="1" x14ac:dyDescent="0.45">
      <c r="A20" s="5" t="s">
        <v>258</v>
      </c>
      <c r="B20" s="16">
        <f>Assumptions!F54</f>
        <v>2843</v>
      </c>
    </row>
    <row r="21" spans="1:4" ht="15" customHeight="1" x14ac:dyDescent="0.45">
      <c r="A21" s="15" t="s">
        <v>259</v>
      </c>
      <c r="B21" s="25">
        <f>B19/B20-1</f>
        <v>-0.25498872152179297</v>
      </c>
    </row>
    <row r="23" spans="1:4" ht="15" customHeight="1" x14ac:dyDescent="0.45">
      <c r="A23" s="4" t="s">
        <v>260</v>
      </c>
    </row>
    <row r="24" spans="1:4" ht="15" customHeight="1" x14ac:dyDescent="0.45">
      <c r="A24" s="3"/>
      <c r="B24" s="3" t="s">
        <v>25</v>
      </c>
      <c r="C24" s="3" t="s">
        <v>230</v>
      </c>
      <c r="D24" s="3" t="s">
        <v>231</v>
      </c>
    </row>
    <row r="26" spans="1:4" ht="15" customHeight="1" x14ac:dyDescent="0.45">
      <c r="A26" s="5" t="s">
        <v>261</v>
      </c>
      <c r="B26" s="26">
        <f>Assumptions!F58/'Income Statement'!F26</f>
        <v>19.500082492369454</v>
      </c>
      <c r="C26" s="26">
        <f>Assumptions!F58/'Income Statement'!G26</f>
        <v>17.381360294117648</v>
      </c>
      <c r="D26" s="26">
        <f>Assumptions!F58/'Income Statement'!H26</f>
        <v>15.400064604919203</v>
      </c>
    </row>
    <row r="27" spans="1:4" ht="15" customHeight="1" x14ac:dyDescent="0.45">
      <c r="A27" s="5" t="s">
        <v>262</v>
      </c>
      <c r="B27" s="26">
        <f>Assumptions!F58/'Income Statement'!F14</f>
        <v>21.576642224723887</v>
      </c>
      <c r="C27" s="26">
        <f>Assumptions!F58/'Income Statement'!G14</f>
        <v>19.140607287449392</v>
      </c>
      <c r="D27" s="26">
        <f>Assumptions!F58/'Income Statement'!H14</f>
        <v>16.865023945206946</v>
      </c>
    </row>
    <row r="28" spans="1:4" ht="15" customHeight="1" x14ac:dyDescent="0.45">
      <c r="A28" s="5" t="s">
        <v>263</v>
      </c>
      <c r="B28" s="26">
        <f>Assumptions!F56/'Income Statement'!F21</f>
        <v>30.4384830162907</v>
      </c>
      <c r="C28" s="26">
        <f>Assumptions!F56/'Income Statement'!G21</f>
        <v>27.41269582835848</v>
      </c>
      <c r="D28" s="26">
        <f>Assumptions!F56/'Income Statement'!H21</f>
        <v>24.148238653254971</v>
      </c>
    </row>
    <row r="29" spans="1:4" ht="15" customHeight="1" x14ac:dyDescent="0.45">
      <c r="A29" s="5" t="s">
        <v>264</v>
      </c>
      <c r="B29" s="26">
        <f>Assumptions!F56/'Cash Flow'!F16</f>
        <v>34.744663288469035</v>
      </c>
      <c r="C29" s="26">
        <f>Assumptions!F56/'Cash Flow'!G16</f>
        <v>28.711186479214824</v>
      </c>
    </row>
    <row r="30" spans="1:4" ht="15" customHeight="1" x14ac:dyDescent="0.45">
      <c r="A30" s="5" t="s">
        <v>265</v>
      </c>
      <c r="B30" s="22">
        <f>Assumptions!F60</f>
        <v>1.2E-2</v>
      </c>
    </row>
    <row r="32" spans="1:4" ht="15" customHeight="1" x14ac:dyDescent="0.45">
      <c r="A32" s="4" t="s">
        <v>266</v>
      </c>
    </row>
    <row r="33" spans="1:5" ht="15" customHeight="1" x14ac:dyDescent="0.45">
      <c r="A33" s="3" t="s">
        <v>267</v>
      </c>
      <c r="B33" s="3" t="s">
        <v>268</v>
      </c>
      <c r="C33" s="3" t="s">
        <v>269</v>
      </c>
      <c r="D33" s="3" t="s">
        <v>270</v>
      </c>
      <c r="E33" s="3" t="s">
        <v>271</v>
      </c>
    </row>
    <row r="34" spans="1:5" ht="15" customHeight="1" x14ac:dyDescent="0.45">
      <c r="A34" s="15" t="s">
        <v>272</v>
      </c>
      <c r="B34" s="27">
        <f>B26</f>
        <v>19.500082492369454</v>
      </c>
      <c r="C34" s="27">
        <f>B28</f>
        <v>30.4384830162907</v>
      </c>
      <c r="D34" s="22">
        <f>'Income Statement'!F15</f>
        <v>0.38757340628758757</v>
      </c>
      <c r="E34" s="22">
        <f>'Income Statement'!F7</f>
        <v>0.11281411980841161</v>
      </c>
    </row>
    <row r="35" spans="1:5" ht="15" customHeight="1" x14ac:dyDescent="0.45">
      <c r="A35" s="5" t="s">
        <v>273</v>
      </c>
      <c r="B35" s="28">
        <v>14</v>
      </c>
      <c r="C35" s="28">
        <v>20</v>
      </c>
      <c r="D35" s="13">
        <v>0.33</v>
      </c>
      <c r="E35" s="13">
        <v>0.35</v>
      </c>
    </row>
    <row r="36" spans="1:5" ht="15" customHeight="1" x14ac:dyDescent="0.45">
      <c r="A36" s="5" t="s">
        <v>274</v>
      </c>
      <c r="B36" s="28">
        <v>8.5</v>
      </c>
      <c r="C36" s="28">
        <v>25</v>
      </c>
      <c r="D36" s="13">
        <v>0.12</v>
      </c>
      <c r="E36" s="13">
        <v>0.05</v>
      </c>
    </row>
    <row r="37" spans="1:5" ht="15" customHeight="1" x14ac:dyDescent="0.45">
      <c r="A37" s="5" t="s">
        <v>275</v>
      </c>
      <c r="B37" s="28">
        <v>15</v>
      </c>
      <c r="C37" s="28">
        <v>28</v>
      </c>
      <c r="D37" s="13">
        <v>0.22</v>
      </c>
      <c r="E37" s="13">
        <v>0.1</v>
      </c>
    </row>
    <row r="38" spans="1:5" ht="15" customHeight="1" x14ac:dyDescent="0.45">
      <c r="A38" s="5" t="s">
        <v>276</v>
      </c>
      <c r="B38" s="28">
        <v>12</v>
      </c>
      <c r="C38" s="28">
        <v>22</v>
      </c>
      <c r="D38" s="13">
        <v>0.1</v>
      </c>
      <c r="E38" s="13">
        <v>0.08</v>
      </c>
    </row>
    <row r="39" spans="1:5" ht="15" customHeight="1" x14ac:dyDescent="0.45">
      <c r="A39" s="5" t="s">
        <v>277</v>
      </c>
      <c r="B39" s="28">
        <v>16</v>
      </c>
      <c r="C39" s="28">
        <v>30</v>
      </c>
      <c r="D39" s="13">
        <v>0.2</v>
      </c>
      <c r="E39" s="13">
        <v>0.02</v>
      </c>
    </row>
    <row r="40" spans="1:5" ht="15" customHeight="1" x14ac:dyDescent="0.45">
      <c r="A40" s="15" t="s">
        <v>278</v>
      </c>
      <c r="B40" s="29">
        <f>AVERAGE(B35:B39)</f>
        <v>13.1</v>
      </c>
      <c r="C40" s="29">
        <f>AVERAGE(C35:C39)</f>
        <v>25</v>
      </c>
      <c r="D40" s="30">
        <f>AVERAGE(D35:D39)</f>
        <v>0.19400000000000001</v>
      </c>
      <c r="E40" s="30">
        <f>AVERAGE(E35:E39)</f>
        <v>0.12</v>
      </c>
    </row>
    <row r="42" spans="1:5" ht="15" customHeight="1" x14ac:dyDescent="0.45">
      <c r="A42" s="4" t="s">
        <v>279</v>
      </c>
    </row>
    <row r="43" spans="1:5" ht="15" customHeight="1" x14ac:dyDescent="0.45">
      <c r="A43" s="5" t="s">
        <v>280</v>
      </c>
      <c r="B43" s="8">
        <f>B40*'Income Statement'!G27</f>
        <v>5.6261052631578945</v>
      </c>
    </row>
    <row r="44" spans="1:5" ht="15" customHeight="1" x14ac:dyDescent="0.45">
      <c r="A44" s="5" t="s">
        <v>281</v>
      </c>
      <c r="B44" s="8">
        <f>B43+Assumptions!F57</f>
        <v>97005.62610526316</v>
      </c>
    </row>
    <row r="45" spans="1:5" ht="15" customHeight="1" x14ac:dyDescent="0.45">
      <c r="A45" s="5" t="s">
        <v>282</v>
      </c>
      <c r="B45" s="24">
        <f>B44*1000/Assumptions!F55</f>
        <v>181.9992985089365</v>
      </c>
    </row>
    <row r="46" spans="1:5" ht="15" customHeight="1" x14ac:dyDescent="0.45">
      <c r="A46" s="5" t="s">
        <v>283</v>
      </c>
      <c r="B46" s="8">
        <f>C40*'Income Statement'!G21</f>
        <v>1381950</v>
      </c>
    </row>
    <row r="47" spans="1:5" ht="15" customHeight="1" x14ac:dyDescent="0.45">
      <c r="A47" s="5" t="s">
        <v>282</v>
      </c>
      <c r="B47" s="24">
        <f>B46*1000/Assumptions!F55</f>
        <v>2592.7767354596622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60"/>
  <sheetViews>
    <sheetView topLeftCell="A3" workbookViewId="0"/>
  </sheetViews>
  <sheetFormatPr defaultRowHeight="14.25" x14ac:dyDescent="0.45"/>
  <cols>
    <col min="1" max="1" width="35" customWidth="1"/>
    <col min="2" max="2" width="50" customWidth="1"/>
    <col min="3" max="3" width="40" customWidth="1"/>
    <col min="4" max="4" width="25" customWidth="1"/>
  </cols>
  <sheetData>
    <row r="1" spans="1:4" ht="21" x14ac:dyDescent="0.65">
      <c r="A1" s="126" t="s">
        <v>284</v>
      </c>
    </row>
    <row r="2" spans="1:4" x14ac:dyDescent="0.45">
      <c r="A2" s="127" t="s">
        <v>285</v>
      </c>
    </row>
    <row r="4" spans="1:4" ht="15.75" x14ac:dyDescent="0.5">
      <c r="A4" s="142" t="s">
        <v>286</v>
      </c>
      <c r="B4" s="139"/>
      <c r="C4" s="139"/>
      <c r="D4" s="139"/>
    </row>
    <row r="6" spans="1:4" x14ac:dyDescent="0.45">
      <c r="A6" s="128" t="s">
        <v>287</v>
      </c>
      <c r="B6" s="128" t="s">
        <v>288</v>
      </c>
      <c r="C6" s="128" t="s">
        <v>289</v>
      </c>
      <c r="D6" s="128" t="s">
        <v>290</v>
      </c>
    </row>
    <row r="7" spans="1:4" ht="28.5" x14ac:dyDescent="0.45">
      <c r="A7" s="129" t="s">
        <v>291</v>
      </c>
      <c r="B7" s="129" t="s">
        <v>292</v>
      </c>
      <c r="C7" s="129" t="s">
        <v>293</v>
      </c>
      <c r="D7" s="129" t="s">
        <v>294</v>
      </c>
    </row>
    <row r="8" spans="1:4" ht="28.5" x14ac:dyDescent="0.45">
      <c r="A8" s="129" t="s">
        <v>295</v>
      </c>
      <c r="B8" s="129" t="s">
        <v>296</v>
      </c>
      <c r="C8" s="129" t="s">
        <v>297</v>
      </c>
      <c r="D8" s="129" t="s">
        <v>298</v>
      </c>
    </row>
    <row r="9" spans="1:4" ht="28.5" x14ac:dyDescent="0.45">
      <c r="A9" s="129" t="s">
        <v>299</v>
      </c>
      <c r="B9" s="129" t="s">
        <v>300</v>
      </c>
      <c r="C9" s="129" t="s">
        <v>301</v>
      </c>
      <c r="D9" s="129" t="s">
        <v>302</v>
      </c>
    </row>
    <row r="12" spans="1:4" ht="15.75" x14ac:dyDescent="0.5">
      <c r="A12" s="142" t="s">
        <v>303</v>
      </c>
      <c r="B12" s="139"/>
      <c r="C12" s="139"/>
      <c r="D12" s="139"/>
    </row>
    <row r="14" spans="1:4" x14ac:dyDescent="0.45">
      <c r="A14" s="130" t="s">
        <v>304</v>
      </c>
      <c r="B14" s="130" t="s">
        <v>65</v>
      </c>
      <c r="C14" s="130" t="s">
        <v>305</v>
      </c>
    </row>
    <row r="15" spans="1:4" x14ac:dyDescent="0.45">
      <c r="A15" s="131" t="s">
        <v>306</v>
      </c>
      <c r="B15" s="131" t="s">
        <v>307</v>
      </c>
      <c r="C15" s="131" t="s">
        <v>308</v>
      </c>
    </row>
    <row r="16" spans="1:4" x14ac:dyDescent="0.45">
      <c r="A16" s="131" t="s">
        <v>69</v>
      </c>
      <c r="B16" s="131" t="s">
        <v>309</v>
      </c>
      <c r="C16" s="131" t="s">
        <v>310</v>
      </c>
    </row>
    <row r="17" spans="1:4" x14ac:dyDescent="0.45">
      <c r="A17" s="131" t="s">
        <v>311</v>
      </c>
      <c r="B17" s="131" t="s">
        <v>312</v>
      </c>
      <c r="C17" s="131" t="s">
        <v>313</v>
      </c>
    </row>
    <row r="18" spans="1:4" x14ac:dyDescent="0.45">
      <c r="A18" s="131" t="s">
        <v>73</v>
      </c>
      <c r="B18" s="131" t="s">
        <v>314</v>
      </c>
      <c r="C18" s="131" t="s">
        <v>315</v>
      </c>
    </row>
    <row r="19" spans="1:4" x14ac:dyDescent="0.45">
      <c r="A19" s="131" t="s">
        <v>249</v>
      </c>
      <c r="B19" s="131" t="s">
        <v>314</v>
      </c>
      <c r="C19" s="131" t="s">
        <v>316</v>
      </c>
    </row>
    <row r="22" spans="1:4" ht="15.75" x14ac:dyDescent="0.5">
      <c r="A22" s="142" t="s">
        <v>317</v>
      </c>
      <c r="B22" s="139"/>
      <c r="C22" s="139"/>
      <c r="D22" s="139"/>
    </row>
    <row r="24" spans="1:4" x14ac:dyDescent="0.45">
      <c r="A24" s="130" t="s">
        <v>318</v>
      </c>
      <c r="B24" s="130" t="s">
        <v>319</v>
      </c>
      <c r="C24" s="130" t="s">
        <v>320</v>
      </c>
    </row>
    <row r="25" spans="1:4" x14ac:dyDescent="0.45">
      <c r="A25" s="131" t="s">
        <v>321</v>
      </c>
      <c r="B25" s="131" t="s">
        <v>322</v>
      </c>
      <c r="C25" s="131" t="s">
        <v>323</v>
      </c>
    </row>
    <row r="26" spans="1:4" x14ac:dyDescent="0.45">
      <c r="A26" s="131" t="s">
        <v>324</v>
      </c>
      <c r="B26" s="131" t="s">
        <v>325</v>
      </c>
      <c r="C26" s="131" t="s">
        <v>326</v>
      </c>
    </row>
    <row r="27" spans="1:4" x14ac:dyDescent="0.45">
      <c r="A27" s="131" t="s">
        <v>327</v>
      </c>
      <c r="B27" s="131" t="s">
        <v>328</v>
      </c>
      <c r="C27" s="131" t="s">
        <v>329</v>
      </c>
    </row>
    <row r="28" spans="1:4" x14ac:dyDescent="0.45">
      <c r="A28" s="131" t="s">
        <v>330</v>
      </c>
      <c r="B28" s="131" t="s">
        <v>331</v>
      </c>
      <c r="C28" s="131" t="s">
        <v>332</v>
      </c>
    </row>
    <row r="29" spans="1:4" x14ac:dyDescent="0.45">
      <c r="A29" s="131" t="s">
        <v>333</v>
      </c>
      <c r="B29" s="131" t="s">
        <v>334</v>
      </c>
      <c r="C29" s="131" t="s">
        <v>335</v>
      </c>
    </row>
    <row r="32" spans="1:4" ht="15.75" x14ac:dyDescent="0.5">
      <c r="A32" s="142" t="s">
        <v>336</v>
      </c>
      <c r="B32" s="139"/>
      <c r="C32" s="139"/>
      <c r="D32" s="139"/>
    </row>
    <row r="34" spans="1:4" x14ac:dyDescent="0.45">
      <c r="A34" s="130" t="s">
        <v>337</v>
      </c>
      <c r="B34" s="130" t="s">
        <v>338</v>
      </c>
      <c r="C34" s="130" t="s">
        <v>8</v>
      </c>
      <c r="D34" s="130" t="s">
        <v>290</v>
      </c>
    </row>
    <row r="35" spans="1:4" x14ac:dyDescent="0.45">
      <c r="A35" s="131" t="s">
        <v>339</v>
      </c>
      <c r="B35" s="131" t="s">
        <v>340</v>
      </c>
      <c r="C35" s="131" t="s">
        <v>341</v>
      </c>
      <c r="D35" s="131" t="s">
        <v>342</v>
      </c>
    </row>
    <row r="36" spans="1:4" x14ac:dyDescent="0.45">
      <c r="A36" s="131" t="s">
        <v>343</v>
      </c>
      <c r="B36" s="131" t="s">
        <v>344</v>
      </c>
      <c r="C36" s="131" t="s">
        <v>345</v>
      </c>
      <c r="D36" s="131" t="s">
        <v>346</v>
      </c>
    </row>
    <row r="37" spans="1:4" x14ac:dyDescent="0.45">
      <c r="A37" s="131" t="s">
        <v>180</v>
      </c>
      <c r="B37" s="131" t="s">
        <v>347</v>
      </c>
      <c r="C37" s="131" t="s">
        <v>348</v>
      </c>
      <c r="D37" s="131" t="s">
        <v>349</v>
      </c>
    </row>
    <row r="38" spans="1:4" x14ac:dyDescent="0.45">
      <c r="A38" s="131" t="s">
        <v>350</v>
      </c>
      <c r="B38" s="131" t="s">
        <v>351</v>
      </c>
      <c r="C38" s="131" t="s">
        <v>352</v>
      </c>
      <c r="D38" s="131" t="s">
        <v>353</v>
      </c>
    </row>
    <row r="41" spans="1:4" ht="15.75" x14ac:dyDescent="0.5">
      <c r="A41" s="142" t="s">
        <v>354</v>
      </c>
      <c r="B41" s="139"/>
      <c r="C41" s="139"/>
      <c r="D41" s="139"/>
    </row>
    <row r="43" spans="1:4" x14ac:dyDescent="0.45">
      <c r="A43" s="130" t="s">
        <v>2</v>
      </c>
      <c r="B43" s="130" t="s">
        <v>338</v>
      </c>
      <c r="C43" s="130" t="s">
        <v>8</v>
      </c>
      <c r="D43" s="130" t="s">
        <v>355</v>
      </c>
    </row>
    <row r="44" spans="1:4" x14ac:dyDescent="0.45">
      <c r="A44" s="131" t="s">
        <v>356</v>
      </c>
      <c r="B44" s="131" t="s">
        <v>357</v>
      </c>
      <c r="C44" s="131" t="s">
        <v>358</v>
      </c>
      <c r="D44" s="131" t="s">
        <v>359</v>
      </c>
    </row>
    <row r="45" spans="1:4" x14ac:dyDescent="0.45">
      <c r="A45" s="131" t="s">
        <v>360</v>
      </c>
      <c r="B45" s="131" t="s">
        <v>361</v>
      </c>
      <c r="C45" s="131" t="s">
        <v>362</v>
      </c>
      <c r="D45" s="131" t="s">
        <v>363</v>
      </c>
    </row>
    <row r="46" spans="1:4" x14ac:dyDescent="0.45">
      <c r="A46" s="131" t="s">
        <v>176</v>
      </c>
      <c r="B46" s="131" t="s">
        <v>364</v>
      </c>
      <c r="C46" s="131" t="s">
        <v>365</v>
      </c>
      <c r="D46" s="131" t="s">
        <v>366</v>
      </c>
    </row>
    <row r="47" spans="1:4" x14ac:dyDescent="0.45">
      <c r="A47" s="131" t="s">
        <v>367</v>
      </c>
      <c r="B47" s="131" t="s">
        <v>368</v>
      </c>
      <c r="C47" s="131" t="s">
        <v>369</v>
      </c>
      <c r="D47" s="131" t="s">
        <v>370</v>
      </c>
    </row>
    <row r="50" spans="1:4" ht="15.75" x14ac:dyDescent="0.5">
      <c r="A50" s="142" t="s">
        <v>371</v>
      </c>
      <c r="B50" s="139"/>
      <c r="C50" s="139"/>
      <c r="D50" s="139"/>
    </row>
    <row r="52" spans="1:4" ht="120" customHeight="1" x14ac:dyDescent="0.45">
      <c r="A52" s="143" t="s">
        <v>372</v>
      </c>
      <c r="B52" s="139"/>
      <c r="C52" s="139"/>
      <c r="D52" s="139"/>
    </row>
    <row r="54" spans="1:4" ht="15.75" x14ac:dyDescent="0.5">
      <c r="A54" s="142" t="s">
        <v>373</v>
      </c>
      <c r="B54" s="139"/>
      <c r="C54" s="139"/>
      <c r="D54" s="139"/>
    </row>
    <row r="56" spans="1:4" x14ac:dyDescent="0.45">
      <c r="A56" s="128" t="s">
        <v>374</v>
      </c>
      <c r="B56" s="128" t="s">
        <v>375</v>
      </c>
      <c r="C56" s="128" t="s">
        <v>376</v>
      </c>
      <c r="D56" s="128" t="s">
        <v>377</v>
      </c>
    </row>
    <row r="57" spans="1:4" ht="28.5" x14ac:dyDescent="0.45">
      <c r="A57" s="129" t="s">
        <v>378</v>
      </c>
      <c r="B57" s="129" t="s">
        <v>379</v>
      </c>
      <c r="C57" s="129" t="s">
        <v>380</v>
      </c>
      <c r="D57" s="129" t="s">
        <v>381</v>
      </c>
    </row>
    <row r="58" spans="1:4" ht="28.5" x14ac:dyDescent="0.45">
      <c r="A58" s="129" t="s">
        <v>176</v>
      </c>
      <c r="B58" s="129" t="s">
        <v>382</v>
      </c>
      <c r="C58" s="129" t="s">
        <v>383</v>
      </c>
      <c r="D58" s="129" t="s">
        <v>384</v>
      </c>
    </row>
    <row r="59" spans="1:4" x14ac:dyDescent="0.45">
      <c r="A59" s="129" t="s">
        <v>385</v>
      </c>
      <c r="B59" s="129" t="s">
        <v>312</v>
      </c>
      <c r="C59" s="129" t="s">
        <v>386</v>
      </c>
      <c r="D59" s="129" t="s">
        <v>387</v>
      </c>
    </row>
    <row r="60" spans="1:4" ht="28.5" x14ac:dyDescent="0.45">
      <c r="A60" s="129" t="s">
        <v>388</v>
      </c>
      <c r="B60" s="129" t="s">
        <v>389</v>
      </c>
      <c r="C60" s="129" t="s">
        <v>390</v>
      </c>
      <c r="D60" s="129" t="s">
        <v>391</v>
      </c>
    </row>
  </sheetData>
  <mergeCells count="8">
    <mergeCell ref="A22:D22"/>
    <mergeCell ref="A12:D12"/>
    <mergeCell ref="A4:D4"/>
    <mergeCell ref="A50:D50"/>
    <mergeCell ref="A54:D54"/>
    <mergeCell ref="A52:D52"/>
    <mergeCell ref="A41:D41"/>
    <mergeCell ref="A32:D3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5"/>
  <sheetViews>
    <sheetView workbookViewId="0"/>
  </sheetViews>
  <sheetFormatPr defaultRowHeight="14.25" x14ac:dyDescent="0.45"/>
  <cols>
    <col min="1" max="1" width="30" customWidth="1"/>
    <col min="2" max="2" width="14" customWidth="1"/>
  </cols>
  <sheetData>
    <row r="1" spans="1:7" ht="17.25" customHeight="1" x14ac:dyDescent="0.5">
      <c r="A1" s="1" t="s">
        <v>392</v>
      </c>
    </row>
    <row r="2" spans="1:7" ht="15" customHeight="1" x14ac:dyDescent="0.45">
      <c r="A2" s="2" t="s">
        <v>393</v>
      </c>
    </row>
    <row r="4" spans="1:7" ht="15" customHeight="1" x14ac:dyDescent="0.45">
      <c r="A4" s="15" t="s">
        <v>394</v>
      </c>
      <c r="B4" s="31">
        <v>0.03</v>
      </c>
      <c r="C4" s="31">
        <v>3.5000000000000003E-2</v>
      </c>
      <c r="D4" s="31">
        <v>0.04</v>
      </c>
      <c r="E4" s="31">
        <v>4.2000000000000003E-2</v>
      </c>
      <c r="F4" s="31">
        <v>0.05</v>
      </c>
      <c r="G4" s="31">
        <v>5.5E-2</v>
      </c>
    </row>
    <row r="5" spans="1:7" ht="15" customHeight="1" x14ac:dyDescent="0.45">
      <c r="A5" s="32">
        <v>1.4999999999999999E-2</v>
      </c>
      <c r="B5" s="8">
        <f>(Valuation!B7/(1+0.03)^1+Valuation!C7/(1+0.03)^2+(Valuation!D7+Valuation!D7*(1+$A5)/(0.03-$A5))/(1+0.03)^3+Assumptions!F57)*1000/Assumptions!F55</f>
        <v>8429.2703411637158</v>
      </c>
      <c r="C5" s="8">
        <f>(Valuation!B7/(1+0.035)^1+Valuation!C7/(1+0.035)^2+(Valuation!D7+Valuation!D7*(1+$A5)/(0.035-$A5))/(1+0.035)^3+Assumptions!F57)*1000/Assumptions!F55</f>
        <v>6359.134019078384</v>
      </c>
      <c r="D5" s="8">
        <f>(Valuation!B7/(1+0.04)^1+Valuation!C7/(1+0.04)^2+(Valuation!D7+Valuation!D7*(1+$A5)/(0.04-$A5))/(1+0.04)^3+Assumptions!F57)*1000/Assumptions!F55</f>
        <v>5117.1342035841544</v>
      </c>
      <c r="E5" s="8">
        <f>(Valuation!B7/(1+0.042)^1+Valuation!C7/(1+0.042)^2+(Valuation!D7+Valuation!D7*(1+$A5)/(0.042-$A5))/(1+0.042)^3+Assumptions!F57)*1000/Assumptions!F55</f>
        <v>4749.155213316335</v>
      </c>
      <c r="F5" s="8">
        <f>(Valuation!B7/(1+0.05)^1+Valuation!C7/(1+0.05)^2+(Valuation!D7+Valuation!D7*(1+$A5)/(0.05-$A5))/(1+0.05)^3+Assumptions!F57)*1000/Assumptions!F55</f>
        <v>3697.8774355449304</v>
      </c>
      <c r="G5" s="8">
        <f>(Valuation!B7/(1+0.055)^1+Valuation!C7/(1+0.055)^2+(Valuation!D7+Valuation!D7*(1+$A5)/(0.055-$A5))/(1+0.055)^3+Assumptions!F57)*1000/Assumptions!F55</f>
        <v>3254.4330345950948</v>
      </c>
    </row>
    <row r="6" spans="1:7" ht="15" customHeight="1" x14ac:dyDescent="0.45">
      <c r="A6" s="32">
        <v>0.02</v>
      </c>
      <c r="B6" s="8">
        <f>IFERROR((Valuation!B7/(1+0.03)^1+Valuation!C7/(1+0.03)^2+(Valuation!D7+Valuation!D7*(1+$A6)/(0.03-$A6))/(1+0.03)^3+Assumptions!F57)*1000/Assumptions!F55,0)</f>
        <v>12450.240653754814</v>
      </c>
      <c r="C6" s="8">
        <f>IFERROR((Valuation!B7/(1+0.035)^1+Valuation!C7/(1+0.035)^2+(Valuation!D7+Valuation!D7*(1+$A6)/(0.035-$A6))/(1+0.035)^3+Assumptions!F57)*1000/Assumptions!F55,0)</f>
        <v>8350.241118253578</v>
      </c>
      <c r="D6" s="8">
        <f>IFERROR((Valuation!B7/(1+0.04)^1+Valuation!C7/(1+0.04)^2+(Valuation!D7+Valuation!D7*(1+$A6)/(0.04-$A6))/(1+0.04)^3+Assumptions!F57)*1000/Assumptions!F55,0)</f>
        <v>6300.3389201044656</v>
      </c>
      <c r="E6" s="8">
        <f>IFERROR((Valuation!B7/(1+0.042)^1+Valuation!C7/(1+0.042)^2+(Valuation!D7+Valuation!D7*(1+$A6)/(0.042-$A6))/(1+0.042)^3+Assumptions!F57)*1000/Assumptions!F55,0)</f>
        <v>5741.2991719370411</v>
      </c>
      <c r="F6" s="8">
        <f>IFERROR((Valuation!B7/(1+0.05)^1+Valuation!C7/(1+0.05)^2+(Valuation!D7+Valuation!D7*(1+$A6)/(0.05-$A6))/(1+0.05)^3+Assumptions!F57)*1000/Assumptions!F55,0)</f>
        <v>4250.627342202255</v>
      </c>
      <c r="G6" s="8">
        <f>IFERROR((Valuation!B7/(1+0.055)^1+Valuation!C7/(1+0.055)^2+(Valuation!D7+Valuation!D7*(1+$A6)/(0.055-$A6))/(1+0.055)^3+Assumptions!F57)*1000/Assumptions!F55,0)</f>
        <v>3665.0752744974111</v>
      </c>
    </row>
    <row r="7" spans="1:7" ht="15" customHeight="1" x14ac:dyDescent="0.45">
      <c r="A7" s="32">
        <v>2.5000000000000001E-2</v>
      </c>
      <c r="B7" s="8">
        <f>IFERROR((Valuation!B7/(1+0.03)^1+Valuation!C7/(1+0.03)^2+(Valuation!D7+Valuation!D7*(1+$A7)/(0.03-$A7))/(1+0.03)^3+Assumptions!F57)*1000/Assumptions!F55,0)</f>
        <v>24513.151591528105</v>
      </c>
      <c r="C7" s="8">
        <f>IFERROR((Valuation!B7/(1+0.035)^1+Valuation!C7/(1+0.035)^2+(Valuation!D7+Valuation!D7*(1+$A7)/(0.035-$A7))/(1+0.035)^3+Assumptions!F57)*1000/Assumptions!F55,0)</f>
        <v>12332.45531660396</v>
      </c>
      <c r="D7" s="8">
        <f>IFERROR((Valuation!B7/(1+0.04)^1+Valuation!C7/(1+0.04)^2+(Valuation!D7+Valuation!D7*(1+$A7)/(0.04-$A7))/(1+0.04)^3+Assumptions!F57)*1000/Assumptions!F55,0)</f>
        <v>8272.3467809716512</v>
      </c>
      <c r="E7" s="24">
        <f>IFERROR((Valuation!B7/(1+0.042)^1+Valuation!C7/(1+0.042)^2+(Valuation!D7+Valuation!D7*(1+$A7)/(0.042-$A7))/(1+0.042)^3+Assumptions!F57)*1000/Assumptions!F55,0)</f>
        <v>7317.0572238640407</v>
      </c>
      <c r="F7" s="8">
        <f>IFERROR((Valuation!B7/(1+0.05)^1+Valuation!C7/(1+0.05)^2+(Valuation!D7+Valuation!D7*(1+$A7)/(0.05-$A7))/(1+0.05)^3+Assumptions!F57)*1000/Assumptions!F55,0)</f>
        <v>5024.4772115225069</v>
      </c>
      <c r="G7" s="8">
        <f>IFERROR((Valuation!B7/(1+0.055)^1+Valuation!C7/(1+0.055)^2+(Valuation!D7+Valuation!D7*(1+$A7)/(0.055-$A7))/(1+0.055)^3+Assumptions!F57)*1000/Assumptions!F55,0)</f>
        <v>4212.5982610338306</v>
      </c>
    </row>
    <row r="8" spans="1:7" ht="15" customHeight="1" x14ac:dyDescent="0.45">
      <c r="A8" s="32">
        <v>0.03</v>
      </c>
      <c r="B8" s="8">
        <f>IFERROR((Valuation!B7/(1+0.03)^1+Valuation!C7/(1+0.03)^2+(Valuation!D7+Valuation!D7*(1+$A8)/(0.03-$A8))/(1+0.03)^3+Assumptions!F57)*1000/Assumptions!F55,0)</f>
        <v>0</v>
      </c>
      <c r="C8" s="8">
        <f>IFERROR((Valuation!B7/(1+0.035)^1+Valuation!C7/(1+0.035)^2+(Valuation!D7+Valuation!D7*(1+$A8)/(0.035-$A8))/(1+0.035)^3+Assumptions!F57)*1000/Assumptions!F55,0)</f>
        <v>24279.09791165511</v>
      </c>
      <c r="D8" s="8">
        <f>IFERROR((Valuation!B7/(1+0.04)^1+Valuation!C7/(1+0.04)^2+(Valuation!D7+Valuation!D7*(1+$A8)/(0.04-$A8))/(1+0.04)^3+Assumptions!F57)*1000/Assumptions!F55,0)</f>
        <v>12216.362502706015</v>
      </c>
      <c r="E8" s="8">
        <f>IFERROR((Valuation!B7/(1+0.042)^1+Valuation!C7/(1+0.042)^2+(Valuation!D7+Valuation!D7*(1+$A8)/(0.042-$A8))/(1+0.042)^3+Assumptions!F57)*1000/Assumptions!F55,0)</f>
        <v>10205.946985730212</v>
      </c>
      <c r="F8" s="8">
        <f>IFERROR((Valuation!B7/(1+0.05)^1+Valuation!C7/(1+0.05)^2+(Valuation!D7+Valuation!D7*(1+$A8)/(0.05-$A8))/(1+0.05)^3+Assumptions!F57)*1000/Assumptions!F55,0)</f>
        <v>6185.2520155028842</v>
      </c>
      <c r="G8" s="8">
        <f>IFERROR((Valuation!B7/(1+0.055)^1+Valuation!C7/(1+0.055)^2+(Valuation!D7+Valuation!D7*(1+$A8)/(0.055-$A8))/(1+0.055)^3+Assumptions!F57)*1000/Assumptions!F55,0)</f>
        <v>4979.130442184819</v>
      </c>
    </row>
    <row r="9" spans="1:7" ht="15" customHeight="1" x14ac:dyDescent="0.45">
      <c r="A9" s="32">
        <v>3.5000000000000003E-2</v>
      </c>
      <c r="B9" s="8">
        <f>IFERROR((Valuation!B7/(1+0.03)^1+Valuation!C7/(1+0.03)^2+(Valuation!D7+Valuation!D7*(1+$A9)/(0.03-$A9))/(1+0.03)^3+Assumptions!F57)*1000/Assumptions!F55,0)</f>
        <v>-23738.492159565012</v>
      </c>
      <c r="C9" s="8">
        <f>IFERROR((Valuation!B7/(1+0.035)^1+Valuation!C7/(1+0.035)^2+(Valuation!D7+Valuation!D7*(1+$A9)/(0.035-$A9))/(1+0.035)^3+Assumptions!F57)*1000/Assumptions!F55,0)</f>
        <v>0</v>
      </c>
      <c r="D9" s="8">
        <f>IFERROR((Valuation!B7/(1+0.04)^1+Valuation!C7/(1+0.04)^2+(Valuation!D7+Valuation!D7*(1+$A9)/(0.04-$A9))/(1+0.04)^3+Assumptions!F57)*1000/Assumptions!F55,0)</f>
        <v>24048.409667909127</v>
      </c>
      <c r="E9" s="8">
        <f>IFERROR((Valuation!B7/(1+0.042)^1+Valuation!C7/(1+0.042)^2+(Valuation!D7+Valuation!D7*(1+$A9)/(0.042-$A9))/(1+0.042)^3+Assumptions!F57)*1000/Assumptions!F55,0)</f>
        <v>17221.822121690915</v>
      </c>
      <c r="F9" s="8">
        <f>IFERROR((Valuation!B7/(1+0.05)^1+Valuation!C7/(1+0.05)^2+(Valuation!D7+Valuation!D7*(1+$A9)/(0.05-$A9))/(1+0.05)^3+Assumptions!F57)*1000/Assumptions!F55,0)</f>
        <v>8119.876688803517</v>
      </c>
      <c r="G9" s="8">
        <f>IFERROR((Valuation!B7/(1+0.055)^1+Valuation!C7/(1+0.055)^2+(Valuation!D7+Valuation!D7*(1+$A9)/(0.055-$A9))/(1+0.055)^3+Assumptions!F57)*1000/Assumptions!F55,0)</f>
        <v>6128.9287139113012</v>
      </c>
    </row>
    <row r="10" spans="1:7" ht="15" customHeight="1" x14ac:dyDescent="0.45">
      <c r="B10" s="33">
        <f>IFERROR((Valuation!B7/(1+0.03)^1+Valuation!C7/(1+0.03)^2+(Valuation!D7+Valuation!D7*(1+$A10)/(0.03-$A10))/(1+0.03)^3+Assumptions!F57)*1000/Assumptions!F55,0)</f>
        <v>4408.300028572623</v>
      </c>
      <c r="C10" s="33">
        <f>IFERROR((Valuation!B7/(1+0.035)^1+Valuation!C7/(1+0.035)^2+(Valuation!D7+Valuation!D7*(1+$A10)/(0.035-$A10))/(1+0.035)^3+Assumptions!F57)*1000/Assumptions!F55,0)</f>
        <v>3799.1391772817074</v>
      </c>
      <c r="D10" s="33">
        <f>IFERROR((Valuation!B7/(1+0.04)^1+Valuation!C7/(1+0.04)^2+(Valuation!D7+Valuation!D7*(1+$A10)/(0.04-$A10))/(1+0.04)^3+Assumptions!F57)*1000/Assumptions!F55,0)</f>
        <v>3342.3271288036894</v>
      </c>
      <c r="E10" s="33">
        <f>IFERROR((Valuation!B7/(1+0.042)^1+Valuation!C7/(1+0.042)^2+(Valuation!D7+Valuation!D7*(1+$A10)/(0.042-$A10))/(1+0.042)^3+Assumptions!F57)*1000/Assumptions!F55,0)</f>
        <v>3190.0718497695138</v>
      </c>
      <c r="F10" s="33">
        <f>IFERROR((Valuation!B7/(1+0.05)^1+Valuation!C7/(1+0.05)^2+(Valuation!D7+Valuation!D7*(1+$A10)/(0.05-$A10))/(1+0.05)^3+Assumptions!F57)*1000/Assumptions!F55,0)</f>
        <v>2702.9276035617495</v>
      </c>
      <c r="G10" s="33">
        <f>IFERROR((Valuation!B7/(1+0.055)^1+Valuation!C7/(1+0.055)^2+(Valuation!D7+Valuation!D7*(1+$A10)/(0.055-$A10))/(1+0.055)^3+Assumptions!F57)*1000/Assumptions!F55,0)</f>
        <v>2470.4796675088573</v>
      </c>
    </row>
    <row r="11" spans="1:7" ht="15" customHeight="1" x14ac:dyDescent="0.45">
      <c r="A11" s="4" t="s">
        <v>395</v>
      </c>
    </row>
    <row r="12" spans="1:7" ht="23.25" customHeight="1" x14ac:dyDescent="0.45">
      <c r="A12" s="3" t="s">
        <v>396</v>
      </c>
      <c r="B12" s="3" t="s">
        <v>271</v>
      </c>
      <c r="C12" s="3" t="s">
        <v>397</v>
      </c>
      <c r="D12" s="3" t="s">
        <v>398</v>
      </c>
      <c r="E12" s="3" t="s">
        <v>399</v>
      </c>
    </row>
    <row r="13" spans="1:7" ht="15" customHeight="1" x14ac:dyDescent="0.45">
      <c r="A13" s="15" t="s">
        <v>400</v>
      </c>
      <c r="B13" s="13">
        <v>0.08</v>
      </c>
      <c r="C13" s="13">
        <v>0.37</v>
      </c>
      <c r="D13" s="14">
        <f>Assumptions!F21*(1+B13)*C13*(1-Assumptions!G39)*1000000/Assumptions!F55/1000</f>
        <v>94.093789508442768</v>
      </c>
      <c r="E13" s="8">
        <f>D13*25</f>
        <v>2352.3447377110692</v>
      </c>
    </row>
    <row r="14" spans="1:7" ht="15" customHeight="1" x14ac:dyDescent="0.45">
      <c r="A14" s="15" t="s">
        <v>375</v>
      </c>
      <c r="B14" s="13">
        <v>0.12</v>
      </c>
      <c r="C14" s="13">
        <v>0.39</v>
      </c>
      <c r="D14" s="14">
        <f>Assumptions!F21*(1+B14)*C14*(1-Assumptions!G39)*1000000/Assumptions!F55/1000</f>
        <v>102.85327141463416</v>
      </c>
      <c r="E14" s="34">
        <f>D14*25</f>
        <v>2571.3317853658541</v>
      </c>
    </row>
    <row r="15" spans="1:7" ht="15" customHeight="1" x14ac:dyDescent="0.45">
      <c r="A15" s="15" t="s">
        <v>401</v>
      </c>
      <c r="B15" s="13">
        <v>0.15</v>
      </c>
      <c r="C15" s="13">
        <v>0.41</v>
      </c>
      <c r="D15" s="14">
        <f>Assumptions!F21*(1+B15)*C15*(1-Assumptions!G39)*1000000/Assumptions!F55/1000</f>
        <v>111.02407846153845</v>
      </c>
      <c r="E15" s="8">
        <f>D15*25</f>
        <v>2775.6019615384612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4"/>
  <sheetViews>
    <sheetView workbookViewId="0"/>
  </sheetViews>
  <sheetFormatPr defaultRowHeight="14.25" x14ac:dyDescent="0.45"/>
  <cols>
    <col min="1" max="1" width="32" customWidth="1"/>
    <col min="2" max="2" width="14" customWidth="1"/>
    <col min="10" max="10" width="28" customWidth="1"/>
  </cols>
  <sheetData>
    <row r="1" spans="1:10" ht="17.25" customHeight="1" x14ac:dyDescent="0.5">
      <c r="A1" s="1" t="s">
        <v>402</v>
      </c>
    </row>
    <row r="2" spans="1:10" ht="15" customHeight="1" x14ac:dyDescent="0.45">
      <c r="A2" s="2" t="s">
        <v>403</v>
      </c>
    </row>
    <row r="4" spans="1:10" ht="15" customHeight="1" x14ac:dyDescent="0.45">
      <c r="A4" s="3"/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230</v>
      </c>
      <c r="H4" s="3" t="s">
        <v>231</v>
      </c>
      <c r="I4" s="3" t="s">
        <v>232</v>
      </c>
      <c r="J4" s="3" t="s">
        <v>404</v>
      </c>
    </row>
    <row r="6" spans="1:10" ht="15" customHeight="1" x14ac:dyDescent="0.45">
      <c r="A6" s="4" t="s">
        <v>405</v>
      </c>
    </row>
    <row r="7" spans="1:10" ht="15" customHeight="1" x14ac:dyDescent="0.45">
      <c r="A7" s="15" t="s">
        <v>339</v>
      </c>
      <c r="B7" s="35">
        <v>12</v>
      </c>
      <c r="C7" s="35">
        <v>6</v>
      </c>
      <c r="D7" s="35">
        <v>16.600000000000001</v>
      </c>
      <c r="E7" s="35">
        <v>12</v>
      </c>
      <c r="F7" s="35">
        <v>16.5</v>
      </c>
      <c r="G7" s="35">
        <v>15</v>
      </c>
      <c r="H7" s="35">
        <v>18</v>
      </c>
      <c r="I7" s="35">
        <v>20</v>
      </c>
    </row>
    <row r="8" spans="1:10" ht="15" customHeight="1" x14ac:dyDescent="0.45">
      <c r="A8" s="15" t="s">
        <v>343</v>
      </c>
      <c r="B8" s="35">
        <v>20.100000000000001</v>
      </c>
      <c r="C8" s="35">
        <v>20.100000000000001</v>
      </c>
      <c r="D8" s="35">
        <v>25.1</v>
      </c>
      <c r="E8" s="35">
        <v>35.6</v>
      </c>
      <c r="F8" s="35">
        <v>35.4</v>
      </c>
      <c r="G8" s="35">
        <v>43</v>
      </c>
      <c r="H8" s="35">
        <v>45</v>
      </c>
      <c r="I8" s="35">
        <v>48</v>
      </c>
    </row>
    <row r="9" spans="1:10" ht="15" customHeight="1" x14ac:dyDescent="0.45">
      <c r="A9" s="15" t="s">
        <v>350</v>
      </c>
      <c r="B9" s="36">
        <f t="shared" ref="B9:I9" si="0">B7+B8</f>
        <v>32.1</v>
      </c>
      <c r="C9" s="36">
        <f t="shared" si="0"/>
        <v>26.1</v>
      </c>
      <c r="D9" s="36">
        <f t="shared" si="0"/>
        <v>41.7</v>
      </c>
      <c r="E9" s="36">
        <f t="shared" si="0"/>
        <v>47.6</v>
      </c>
      <c r="F9" s="36">
        <f t="shared" si="0"/>
        <v>51.9</v>
      </c>
      <c r="G9" s="36">
        <f t="shared" si="0"/>
        <v>58</v>
      </c>
      <c r="H9" s="36">
        <f t="shared" si="0"/>
        <v>63</v>
      </c>
      <c r="I9" s="36">
        <f t="shared" si="0"/>
        <v>68</v>
      </c>
    </row>
    <row r="10" spans="1:10" ht="15" customHeight="1" x14ac:dyDescent="0.45">
      <c r="A10" s="12" t="s">
        <v>406</v>
      </c>
      <c r="B10" s="11">
        <f t="shared" ref="B10:I10" si="1">B8/B9</f>
        <v>0.62616822429906549</v>
      </c>
      <c r="C10" s="11">
        <f t="shared" si="1"/>
        <v>0.77011494252873569</v>
      </c>
      <c r="D10" s="11">
        <f t="shared" si="1"/>
        <v>0.60191846522781778</v>
      </c>
      <c r="E10" s="11">
        <f t="shared" si="1"/>
        <v>0.74789915966386555</v>
      </c>
      <c r="F10" s="11">
        <f t="shared" si="1"/>
        <v>0.68208092485549132</v>
      </c>
      <c r="G10" s="11">
        <f t="shared" si="1"/>
        <v>0.74137931034482762</v>
      </c>
      <c r="H10" s="11">
        <f t="shared" si="1"/>
        <v>0.7142857142857143</v>
      </c>
      <c r="I10" s="11">
        <f t="shared" si="1"/>
        <v>0.70588235294117652</v>
      </c>
    </row>
    <row r="12" spans="1:10" ht="15" customHeight="1" x14ac:dyDescent="0.45">
      <c r="A12" s="4" t="s">
        <v>407</v>
      </c>
    </row>
    <row r="13" spans="1:10" ht="15" customHeight="1" x14ac:dyDescent="0.45">
      <c r="A13" s="5" t="s">
        <v>408</v>
      </c>
      <c r="B13" s="10">
        <v>40.51</v>
      </c>
      <c r="J13" s="7" t="s">
        <v>409</v>
      </c>
    </row>
    <row r="14" spans="1:10" ht="15" customHeight="1" x14ac:dyDescent="0.45">
      <c r="A14" s="5" t="s">
        <v>410</v>
      </c>
      <c r="B14" s="10">
        <v>33.39</v>
      </c>
    </row>
    <row r="15" spans="1:10" ht="15" customHeight="1" x14ac:dyDescent="0.45">
      <c r="A15" s="5" t="s">
        <v>411</v>
      </c>
      <c r="B15" s="14">
        <f>B13-B14</f>
        <v>7.1199999999999974</v>
      </c>
    </row>
    <row r="17" spans="1:10" ht="15" customHeight="1" x14ac:dyDescent="0.45">
      <c r="A17" s="4" t="s">
        <v>412</v>
      </c>
    </row>
    <row r="18" spans="1:10" ht="15" customHeight="1" x14ac:dyDescent="0.45">
      <c r="A18" s="5" t="s">
        <v>413</v>
      </c>
      <c r="B18" s="9" t="s">
        <v>414</v>
      </c>
      <c r="J18" s="7" t="s">
        <v>415</v>
      </c>
    </row>
    <row r="19" spans="1:10" ht="15" customHeight="1" x14ac:dyDescent="0.45">
      <c r="A19" s="5" t="s">
        <v>416</v>
      </c>
      <c r="B19" s="9" t="s">
        <v>417</v>
      </c>
      <c r="J19" s="7" t="s">
        <v>418</v>
      </c>
    </row>
    <row r="20" spans="1:10" ht="15" customHeight="1" x14ac:dyDescent="0.45">
      <c r="A20" s="5" t="s">
        <v>419</v>
      </c>
      <c r="B20" s="9" t="s">
        <v>420</v>
      </c>
      <c r="J20" s="7" t="s">
        <v>421</v>
      </c>
    </row>
    <row r="21" spans="1:10" ht="15" customHeight="1" x14ac:dyDescent="0.45">
      <c r="A21" s="5" t="s">
        <v>422</v>
      </c>
      <c r="B21" s="9" t="s">
        <v>423</v>
      </c>
      <c r="J21" s="7" t="s">
        <v>424</v>
      </c>
    </row>
    <row r="22" spans="1:10" ht="15" customHeight="1" x14ac:dyDescent="0.45">
      <c r="A22" s="5" t="s">
        <v>425</v>
      </c>
      <c r="B22" s="9" t="s">
        <v>426</v>
      </c>
      <c r="J22" s="7" t="s">
        <v>427</v>
      </c>
    </row>
    <row r="23" spans="1:10" ht="15" customHeight="1" x14ac:dyDescent="0.45">
      <c r="A23" s="5" t="s">
        <v>428</v>
      </c>
      <c r="B23" s="9" t="s">
        <v>429</v>
      </c>
      <c r="J23" s="7" t="s">
        <v>430</v>
      </c>
    </row>
    <row r="24" spans="1:10" ht="15" customHeight="1" x14ac:dyDescent="0.45">
      <c r="A24" s="5" t="s">
        <v>431</v>
      </c>
      <c r="B24" s="9" t="s">
        <v>432</v>
      </c>
      <c r="J24" s="7" t="s">
        <v>433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65"/>
  <sheetViews>
    <sheetView workbookViewId="0">
      <selection sqref="A1:F1"/>
    </sheetView>
  </sheetViews>
  <sheetFormatPr defaultRowHeight="14.25" x14ac:dyDescent="0.45"/>
  <cols>
    <col min="1" max="1" width="38" customWidth="1"/>
    <col min="2" max="2" width="18" customWidth="1"/>
    <col min="3" max="3" width="24.59765625" bestFit="1" customWidth="1"/>
  </cols>
  <sheetData>
    <row r="1" spans="1:6" ht="17.350000000000001" customHeight="1" x14ac:dyDescent="0.5">
      <c r="A1" s="147" t="s">
        <v>434</v>
      </c>
      <c r="B1" s="139"/>
      <c r="C1" s="139"/>
      <c r="D1" s="139"/>
      <c r="E1" s="139"/>
      <c r="F1" s="139"/>
    </row>
    <row r="3" spans="1:6" ht="15" customHeight="1" x14ac:dyDescent="0.45">
      <c r="A3" s="148" t="s">
        <v>435</v>
      </c>
      <c r="B3" s="139"/>
      <c r="C3" s="139"/>
      <c r="D3" s="139"/>
      <c r="E3" s="139"/>
      <c r="F3" s="139"/>
    </row>
    <row r="4" spans="1:6" ht="15" customHeight="1" x14ac:dyDescent="0.45">
      <c r="A4" s="37" t="s">
        <v>436</v>
      </c>
      <c r="B4" s="37" t="s">
        <v>437</v>
      </c>
      <c r="C4" s="37" t="s">
        <v>438</v>
      </c>
      <c r="D4" s="37" t="s">
        <v>439</v>
      </c>
      <c r="E4" s="37" t="s">
        <v>440</v>
      </c>
      <c r="F4" s="37" t="s">
        <v>441</v>
      </c>
    </row>
    <row r="5" spans="1:6" ht="46.25" customHeight="1" x14ac:dyDescent="0.45">
      <c r="A5" s="38" t="s">
        <v>442</v>
      </c>
      <c r="B5" s="39">
        <v>5</v>
      </c>
      <c r="C5" s="38" t="s">
        <v>443</v>
      </c>
      <c r="D5" s="39">
        <v>3</v>
      </c>
      <c r="E5" s="38" t="s">
        <v>444</v>
      </c>
      <c r="F5" s="38" t="s">
        <v>445</v>
      </c>
    </row>
    <row r="6" spans="1:6" ht="57.5" customHeight="1" x14ac:dyDescent="0.45">
      <c r="A6" s="38" t="s">
        <v>446</v>
      </c>
      <c r="B6" s="39">
        <v>5</v>
      </c>
      <c r="C6" s="38" t="s">
        <v>447</v>
      </c>
      <c r="D6" s="39">
        <v>2</v>
      </c>
      <c r="E6" s="38" t="s">
        <v>444</v>
      </c>
      <c r="F6" s="38" t="s">
        <v>445</v>
      </c>
    </row>
    <row r="7" spans="1:6" ht="46.25" customHeight="1" x14ac:dyDescent="0.45">
      <c r="A7" s="38" t="s">
        <v>448</v>
      </c>
      <c r="B7" s="39">
        <v>5</v>
      </c>
      <c r="C7" s="38" t="s">
        <v>449</v>
      </c>
      <c r="D7" s="39">
        <v>3</v>
      </c>
      <c r="E7" s="38" t="s">
        <v>444</v>
      </c>
      <c r="F7" s="38" t="s">
        <v>445</v>
      </c>
    </row>
    <row r="8" spans="1:6" ht="46.25" customHeight="1" x14ac:dyDescent="0.45">
      <c r="A8" s="38" t="s">
        <v>450</v>
      </c>
      <c r="B8" s="39">
        <v>4</v>
      </c>
      <c r="C8" s="38" t="s">
        <v>451</v>
      </c>
      <c r="D8" s="39">
        <v>3</v>
      </c>
      <c r="E8" s="38" t="s">
        <v>444</v>
      </c>
      <c r="F8" s="38" t="s">
        <v>452</v>
      </c>
    </row>
    <row r="9" spans="1:6" ht="57.5" customHeight="1" x14ac:dyDescent="0.45">
      <c r="A9" s="38" t="s">
        <v>453</v>
      </c>
      <c r="B9" s="39">
        <v>4</v>
      </c>
      <c r="C9" s="38" t="s">
        <v>454</v>
      </c>
      <c r="D9" s="39">
        <v>3</v>
      </c>
      <c r="E9" s="38" t="s">
        <v>455</v>
      </c>
      <c r="F9" s="38" t="s">
        <v>452</v>
      </c>
    </row>
    <row r="10" spans="1:6" ht="46.25" customHeight="1" x14ac:dyDescent="0.45">
      <c r="A10" s="38" t="s">
        <v>456</v>
      </c>
      <c r="B10" s="39">
        <v>4</v>
      </c>
      <c r="C10" s="38" t="s">
        <v>457</v>
      </c>
      <c r="D10" s="39">
        <v>2</v>
      </c>
      <c r="E10" s="38" t="s">
        <v>455</v>
      </c>
      <c r="F10" s="38" t="s">
        <v>452</v>
      </c>
    </row>
    <row r="11" spans="1:6" ht="57.5" customHeight="1" x14ac:dyDescent="0.45">
      <c r="A11" s="38" t="s">
        <v>458</v>
      </c>
      <c r="B11" s="39">
        <v>4</v>
      </c>
      <c r="C11" s="38" t="s">
        <v>459</v>
      </c>
      <c r="D11" s="39">
        <v>2</v>
      </c>
      <c r="E11" s="38" t="s">
        <v>455</v>
      </c>
      <c r="F11" s="38" t="s">
        <v>445</v>
      </c>
    </row>
    <row r="12" spans="1:6" ht="46.25" customHeight="1" x14ac:dyDescent="0.45">
      <c r="A12" s="38" t="s">
        <v>460</v>
      </c>
      <c r="B12" s="39">
        <v>4</v>
      </c>
      <c r="C12" s="38" t="s">
        <v>461</v>
      </c>
      <c r="D12" s="39">
        <v>3</v>
      </c>
      <c r="E12" s="38" t="s">
        <v>455</v>
      </c>
      <c r="F12" s="38" t="s">
        <v>452</v>
      </c>
    </row>
    <row r="13" spans="1:6" ht="15" customHeight="1" x14ac:dyDescent="0.45">
      <c r="A13" s="40" t="s">
        <v>462</v>
      </c>
      <c r="B13" s="41">
        <f>AVERAGE(B5:B12)</f>
        <v>4.375</v>
      </c>
      <c r="C13" s="40" t="s">
        <v>463</v>
      </c>
    </row>
    <row r="15" spans="1:6" ht="15" customHeight="1" x14ac:dyDescent="0.45">
      <c r="A15" s="148" t="s">
        <v>464</v>
      </c>
      <c r="B15" s="139"/>
      <c r="C15" s="139"/>
      <c r="D15" s="139"/>
      <c r="E15" s="139"/>
      <c r="F15" s="139"/>
    </row>
    <row r="16" spans="1:6" ht="15" customHeight="1" x14ac:dyDescent="0.45">
      <c r="A16" s="37" t="s">
        <v>2</v>
      </c>
      <c r="B16" s="37" t="s">
        <v>4</v>
      </c>
      <c r="C16" s="37" t="s">
        <v>5</v>
      </c>
      <c r="D16" s="37" t="s">
        <v>6</v>
      </c>
      <c r="E16" s="37" t="s">
        <v>7</v>
      </c>
      <c r="F16" s="37" t="s">
        <v>465</v>
      </c>
    </row>
    <row r="17" spans="1:6" ht="15" customHeight="1" x14ac:dyDescent="0.45">
      <c r="A17" s="42" t="s">
        <v>466</v>
      </c>
      <c r="B17" s="43">
        <v>0.18</v>
      </c>
      <c r="C17" s="43">
        <v>0.21199999999999999</v>
      </c>
      <c r="D17" s="43">
        <v>0.24299999999999999</v>
      </c>
      <c r="E17" s="43">
        <v>0.248</v>
      </c>
      <c r="F17" s="42" t="s">
        <v>467</v>
      </c>
    </row>
    <row r="18" spans="1:6" ht="15" customHeight="1" x14ac:dyDescent="0.45">
      <c r="A18" s="42" t="s">
        <v>468</v>
      </c>
      <c r="B18" s="43">
        <v>0.14199999999999999</v>
      </c>
      <c r="C18" s="43">
        <v>0.157</v>
      </c>
      <c r="D18" s="43">
        <v>0.189</v>
      </c>
      <c r="E18" s="43">
        <v>0.17399999999999999</v>
      </c>
      <c r="F18" s="42" t="s">
        <v>469</v>
      </c>
    </row>
    <row r="19" spans="1:6" ht="15" customHeight="1" x14ac:dyDescent="0.45">
      <c r="A19" s="42" t="s">
        <v>176</v>
      </c>
      <c r="B19" s="43">
        <v>0.34</v>
      </c>
      <c r="C19" s="43">
        <v>0.36799999999999999</v>
      </c>
      <c r="D19" s="43">
        <v>0.375</v>
      </c>
      <c r="E19" s="43">
        <v>0.38800000000000001</v>
      </c>
      <c r="F19" s="42" t="s">
        <v>470</v>
      </c>
    </row>
    <row r="20" spans="1:6" ht="15" customHeight="1" x14ac:dyDescent="0.45">
      <c r="A20" s="42" t="s">
        <v>471</v>
      </c>
      <c r="B20" s="44">
        <v>30</v>
      </c>
      <c r="C20" s="44">
        <v>33.5</v>
      </c>
      <c r="D20" s="44">
        <v>41.5</v>
      </c>
      <c r="E20" s="44">
        <v>45</v>
      </c>
      <c r="F20" s="42" t="s">
        <v>472</v>
      </c>
    </row>
    <row r="21" spans="1:6" ht="15" customHeight="1" x14ac:dyDescent="0.45">
      <c r="A21" s="42" t="s">
        <v>473</v>
      </c>
      <c r="B21" s="45">
        <v>9</v>
      </c>
      <c r="C21" s="45">
        <v>10</v>
      </c>
      <c r="D21" s="45">
        <v>11</v>
      </c>
      <c r="E21" s="45">
        <v>12</v>
      </c>
      <c r="F21" s="42" t="s">
        <v>474</v>
      </c>
    </row>
    <row r="22" spans="1:6" ht="15" customHeight="1" x14ac:dyDescent="0.45">
      <c r="A22" s="42" t="s">
        <v>475</v>
      </c>
      <c r="B22" s="43">
        <v>0.3</v>
      </c>
      <c r="C22" s="43">
        <v>0.3</v>
      </c>
      <c r="D22" s="43">
        <v>0.3</v>
      </c>
      <c r="E22" s="43">
        <v>0.3</v>
      </c>
      <c r="F22" s="42" t="s">
        <v>476</v>
      </c>
    </row>
    <row r="23" spans="1:6" ht="15" customHeight="1" x14ac:dyDescent="0.45">
      <c r="A23" s="42" t="s">
        <v>477</v>
      </c>
      <c r="B23" s="44">
        <v>0</v>
      </c>
      <c r="C23" s="44">
        <v>0</v>
      </c>
      <c r="D23" s="44">
        <v>0</v>
      </c>
      <c r="E23" s="44">
        <v>8.5</v>
      </c>
      <c r="F23" s="42" t="s">
        <v>478</v>
      </c>
    </row>
    <row r="24" spans="1:6" ht="15" customHeight="1" x14ac:dyDescent="0.45">
      <c r="A24" s="42" t="s">
        <v>479</v>
      </c>
      <c r="B24" s="43">
        <v>0.22700000000000001</v>
      </c>
      <c r="C24" s="43">
        <v>0.22700000000000001</v>
      </c>
      <c r="D24" s="43">
        <v>0.22700000000000001</v>
      </c>
      <c r="E24" s="43">
        <v>0.22700000000000001</v>
      </c>
      <c r="F24" s="42" t="s">
        <v>480</v>
      </c>
    </row>
    <row r="25" spans="1:6" ht="15" customHeight="1" x14ac:dyDescent="0.45">
      <c r="A25" s="40" t="s">
        <v>481</v>
      </c>
      <c r="B25" s="46" t="s">
        <v>482</v>
      </c>
      <c r="C25" s="149" t="s">
        <v>483</v>
      </c>
      <c r="D25" s="139"/>
      <c r="E25" s="139"/>
      <c r="F25" s="139"/>
    </row>
    <row r="27" spans="1:6" ht="15" customHeight="1" x14ac:dyDescent="0.45">
      <c r="A27" s="148" t="s">
        <v>484</v>
      </c>
      <c r="B27" s="139"/>
      <c r="C27" s="139"/>
      <c r="D27" s="139"/>
      <c r="E27" s="139"/>
      <c r="F27" s="139"/>
    </row>
    <row r="28" spans="1:6" ht="15" customHeight="1" x14ac:dyDescent="0.45">
      <c r="A28" s="37" t="s">
        <v>2</v>
      </c>
      <c r="B28" s="37" t="s">
        <v>485</v>
      </c>
      <c r="C28" s="37" t="s">
        <v>486</v>
      </c>
      <c r="D28" s="37" t="s">
        <v>487</v>
      </c>
      <c r="E28" s="37" t="s">
        <v>488</v>
      </c>
      <c r="F28" s="37" t="s">
        <v>305</v>
      </c>
    </row>
    <row r="29" spans="1:6" ht="15" customHeight="1" x14ac:dyDescent="0.45">
      <c r="A29" s="42" t="s">
        <v>489</v>
      </c>
      <c r="B29" s="45">
        <v>188</v>
      </c>
      <c r="C29" s="45">
        <v>200</v>
      </c>
      <c r="D29" s="45">
        <v>206</v>
      </c>
      <c r="E29" s="45">
        <v>215</v>
      </c>
      <c r="F29" s="42" t="s">
        <v>490</v>
      </c>
    </row>
    <row r="30" spans="1:6" ht="15" customHeight="1" x14ac:dyDescent="0.45">
      <c r="A30" s="42" t="s">
        <v>491</v>
      </c>
      <c r="B30" s="47"/>
      <c r="C30" s="47"/>
      <c r="D30" s="47"/>
      <c r="E30" s="43">
        <v>0.03</v>
      </c>
      <c r="F30" s="42" t="s">
        <v>492</v>
      </c>
    </row>
    <row r="31" spans="1:6" ht="15" customHeight="1" x14ac:dyDescent="0.45">
      <c r="A31" s="42" t="s">
        <v>493</v>
      </c>
      <c r="B31" s="47"/>
      <c r="C31" s="47"/>
      <c r="D31" s="47"/>
      <c r="E31" s="43">
        <v>4.7E-2</v>
      </c>
      <c r="F31" s="42" t="s">
        <v>492</v>
      </c>
    </row>
    <row r="32" spans="1:6" ht="15" customHeight="1" x14ac:dyDescent="0.45">
      <c r="A32" s="42" t="s">
        <v>494</v>
      </c>
      <c r="B32" s="47"/>
      <c r="C32" s="47"/>
      <c r="D32" s="47"/>
      <c r="E32" s="43">
        <v>3.3000000000000002E-2</v>
      </c>
      <c r="F32" s="42" t="s">
        <v>492</v>
      </c>
    </row>
    <row r="33" spans="1:6" ht="15" customHeight="1" x14ac:dyDescent="0.45">
      <c r="A33" s="42" t="s">
        <v>495</v>
      </c>
      <c r="B33" s="45">
        <v>90</v>
      </c>
      <c r="C33" s="45">
        <v>95</v>
      </c>
      <c r="D33" s="45">
        <v>100</v>
      </c>
      <c r="E33" s="45">
        <v>108</v>
      </c>
      <c r="F33" s="42" t="s">
        <v>496</v>
      </c>
    </row>
    <row r="34" spans="1:6" ht="15" customHeight="1" x14ac:dyDescent="0.45">
      <c r="A34" s="42" t="s">
        <v>497</v>
      </c>
      <c r="B34" s="47"/>
      <c r="C34" s="43">
        <v>1.7999999999999999E-2</v>
      </c>
      <c r="D34" s="43">
        <v>1.9E-2</v>
      </c>
      <c r="E34" s="43">
        <v>0.02</v>
      </c>
      <c r="F34" s="42" t="s">
        <v>498</v>
      </c>
    </row>
    <row r="35" spans="1:6" ht="15" customHeight="1" x14ac:dyDescent="0.45">
      <c r="A35" s="42" t="s">
        <v>499</v>
      </c>
      <c r="B35" s="47"/>
      <c r="C35" s="43">
        <v>-0.08</v>
      </c>
      <c r="D35" s="47"/>
      <c r="E35" s="47"/>
      <c r="F35" s="42" t="s">
        <v>500</v>
      </c>
    </row>
    <row r="36" spans="1:6" ht="15" customHeight="1" x14ac:dyDescent="0.45">
      <c r="A36" s="42" t="s">
        <v>501</v>
      </c>
      <c r="B36" s="43">
        <v>0.85</v>
      </c>
      <c r="C36" s="43">
        <v>0.87</v>
      </c>
      <c r="D36" s="43">
        <v>0.89</v>
      </c>
      <c r="E36" s="43">
        <v>0.91</v>
      </c>
      <c r="F36" s="42" t="s">
        <v>502</v>
      </c>
    </row>
    <row r="37" spans="1:6" ht="15" customHeight="1" x14ac:dyDescent="0.45">
      <c r="A37" s="42" t="s">
        <v>503</v>
      </c>
      <c r="B37" s="43">
        <v>0.9</v>
      </c>
      <c r="C37" s="43">
        <v>0.93200000000000005</v>
      </c>
      <c r="D37" s="43">
        <v>0.94</v>
      </c>
      <c r="E37" s="43">
        <v>0.95</v>
      </c>
      <c r="F37" s="42" t="s">
        <v>504</v>
      </c>
    </row>
    <row r="38" spans="1:6" ht="35.1" customHeight="1" x14ac:dyDescent="0.45">
      <c r="A38" s="46" t="s">
        <v>505</v>
      </c>
      <c r="B38" s="144" t="s">
        <v>506</v>
      </c>
      <c r="C38" s="139"/>
      <c r="D38" s="139"/>
      <c r="E38" s="139"/>
      <c r="F38" s="139"/>
    </row>
    <row r="40" spans="1:6" ht="15" customHeight="1" x14ac:dyDescent="0.45">
      <c r="A40" s="148" t="s">
        <v>507</v>
      </c>
      <c r="B40" s="139"/>
      <c r="C40" s="139"/>
      <c r="D40" s="139"/>
      <c r="E40" s="139"/>
      <c r="F40" s="139"/>
    </row>
    <row r="41" spans="1:6" ht="15" customHeight="1" x14ac:dyDescent="0.45">
      <c r="A41" s="37" t="s">
        <v>2</v>
      </c>
      <c r="B41" s="37" t="s">
        <v>3</v>
      </c>
      <c r="C41" s="37" t="s">
        <v>5</v>
      </c>
      <c r="D41" s="37" t="s">
        <v>7</v>
      </c>
      <c r="E41" s="37" t="s">
        <v>230</v>
      </c>
      <c r="F41" s="37" t="s">
        <v>508</v>
      </c>
    </row>
    <row r="42" spans="1:6" ht="15" customHeight="1" x14ac:dyDescent="0.45">
      <c r="A42" s="42" t="s">
        <v>509</v>
      </c>
      <c r="B42" s="47">
        <v>95.3</v>
      </c>
      <c r="C42" s="45">
        <v>110.1</v>
      </c>
      <c r="D42" s="45">
        <v>169.6</v>
      </c>
      <c r="E42" s="45">
        <v>190</v>
      </c>
      <c r="F42" s="42" t="s">
        <v>510</v>
      </c>
    </row>
    <row r="43" spans="1:6" ht="15" customHeight="1" x14ac:dyDescent="0.45">
      <c r="A43" s="42" t="s">
        <v>511</v>
      </c>
      <c r="B43" s="47">
        <v>28</v>
      </c>
      <c r="C43" s="47">
        <v>35</v>
      </c>
      <c r="D43" s="47">
        <v>52</v>
      </c>
      <c r="E43" s="47">
        <v>58.3</v>
      </c>
      <c r="F43" s="42" t="s">
        <v>512</v>
      </c>
    </row>
    <row r="44" spans="1:6" ht="15" customHeight="1" x14ac:dyDescent="0.45">
      <c r="A44" s="42" t="s">
        <v>513</v>
      </c>
      <c r="B44" s="47">
        <v>42.9</v>
      </c>
      <c r="C44" s="47">
        <v>47.1</v>
      </c>
      <c r="D44" s="47">
        <v>65.8</v>
      </c>
      <c r="E44" s="47">
        <v>73</v>
      </c>
      <c r="F44" s="42" t="s">
        <v>514</v>
      </c>
    </row>
    <row r="45" spans="1:6" ht="15" customHeight="1" x14ac:dyDescent="0.45">
      <c r="A45" s="42" t="s">
        <v>515</v>
      </c>
      <c r="B45" s="47">
        <v>32.1</v>
      </c>
      <c r="C45" s="47">
        <v>41.7</v>
      </c>
      <c r="D45" s="47">
        <v>51.9</v>
      </c>
      <c r="E45" s="47">
        <v>58</v>
      </c>
      <c r="F45" s="42" t="s">
        <v>516</v>
      </c>
    </row>
    <row r="46" spans="1:6" ht="15" customHeight="1" x14ac:dyDescent="0.45">
      <c r="A46" s="42" t="s">
        <v>517</v>
      </c>
      <c r="B46" s="45">
        <v>2969</v>
      </c>
      <c r="C46" s="45">
        <v>2640</v>
      </c>
      <c r="D46" s="45">
        <v>3268</v>
      </c>
      <c r="E46" s="45">
        <v>3276</v>
      </c>
      <c r="F46" s="42" t="s">
        <v>518</v>
      </c>
    </row>
    <row r="47" spans="1:6" ht="15" customHeight="1" x14ac:dyDescent="0.45">
      <c r="A47" s="42" t="s">
        <v>519</v>
      </c>
      <c r="B47" s="45">
        <v>1337</v>
      </c>
      <c r="C47" s="45">
        <v>1130</v>
      </c>
      <c r="D47" s="45">
        <v>1267</v>
      </c>
      <c r="E47" s="45">
        <v>1259</v>
      </c>
      <c r="F47" s="42" t="s">
        <v>520</v>
      </c>
    </row>
    <row r="48" spans="1:6" ht="15" customHeight="1" x14ac:dyDescent="0.45">
      <c r="A48" s="42" t="s">
        <v>521</v>
      </c>
      <c r="B48" s="43">
        <v>0.29399999999999998</v>
      </c>
      <c r="C48" s="43">
        <v>0.318</v>
      </c>
      <c r="D48" s="43">
        <v>0.307</v>
      </c>
      <c r="E48" s="43">
        <v>0.307</v>
      </c>
      <c r="F48" s="42" t="s">
        <v>522</v>
      </c>
    </row>
    <row r="49" spans="1:6" ht="15" customHeight="1" x14ac:dyDescent="0.45">
      <c r="A49" s="42" t="s">
        <v>523</v>
      </c>
      <c r="B49" s="45">
        <v>3200</v>
      </c>
      <c r="C49" s="45">
        <v>3332</v>
      </c>
      <c r="D49" s="45">
        <v>3766</v>
      </c>
      <c r="E49" s="45">
        <v>4000</v>
      </c>
      <c r="F49" s="42" t="s">
        <v>524</v>
      </c>
    </row>
    <row r="50" spans="1:6" ht="15" customHeight="1" x14ac:dyDescent="0.45">
      <c r="A50" s="42" t="s">
        <v>471</v>
      </c>
      <c r="B50" s="47">
        <v>29.8</v>
      </c>
      <c r="C50" s="47">
        <v>33</v>
      </c>
      <c r="D50" s="47">
        <v>45</v>
      </c>
      <c r="E50" s="47">
        <v>47.5</v>
      </c>
      <c r="F50" s="42" t="s">
        <v>525</v>
      </c>
    </row>
    <row r="51" spans="1:6" ht="15" customHeight="1" x14ac:dyDescent="0.45">
      <c r="A51" s="42" t="s">
        <v>526</v>
      </c>
      <c r="B51" s="47">
        <v>20.100000000000001</v>
      </c>
      <c r="C51" s="47">
        <v>25.1</v>
      </c>
      <c r="D51" s="47">
        <v>35.4</v>
      </c>
      <c r="E51" s="47">
        <v>43</v>
      </c>
      <c r="F51" s="42" t="s">
        <v>527</v>
      </c>
    </row>
    <row r="52" spans="1:6" ht="15" customHeight="1" x14ac:dyDescent="0.45">
      <c r="A52" s="42" t="s">
        <v>528</v>
      </c>
      <c r="B52" s="43">
        <v>0.626</v>
      </c>
      <c r="C52" s="43">
        <v>0.60199999999999998</v>
      </c>
      <c r="D52" s="43">
        <v>0.68300000000000005</v>
      </c>
      <c r="E52" s="43">
        <v>0.74099999999999999</v>
      </c>
      <c r="F52" s="42" t="s">
        <v>529</v>
      </c>
    </row>
    <row r="53" spans="1:6" ht="35.1" customHeight="1" x14ac:dyDescent="0.45">
      <c r="A53" s="46" t="s">
        <v>530</v>
      </c>
      <c r="B53" s="144" t="s">
        <v>531</v>
      </c>
      <c r="C53" s="139"/>
      <c r="D53" s="139"/>
      <c r="E53" s="139"/>
      <c r="F53" s="139"/>
    </row>
    <row r="55" spans="1:6" ht="15" customHeight="1" x14ac:dyDescent="0.45">
      <c r="A55" s="148" t="s">
        <v>532</v>
      </c>
      <c r="B55" s="139"/>
      <c r="C55" s="139"/>
      <c r="D55" s="139"/>
      <c r="E55" s="139"/>
      <c r="F55" s="139"/>
    </row>
    <row r="56" spans="1:6" ht="15" customHeight="1" x14ac:dyDescent="0.45">
      <c r="A56" s="37" t="s">
        <v>533</v>
      </c>
      <c r="B56" s="37" t="s">
        <v>534</v>
      </c>
      <c r="C56" s="37" t="s">
        <v>535</v>
      </c>
      <c r="D56" s="37"/>
      <c r="E56" s="37"/>
      <c r="F56" s="37"/>
    </row>
    <row r="57" spans="1:6" ht="15" customHeight="1" x14ac:dyDescent="0.45">
      <c r="A57" s="42" t="s">
        <v>536</v>
      </c>
      <c r="B57" s="47" t="s">
        <v>537</v>
      </c>
      <c r="C57" s="145" t="s">
        <v>538</v>
      </c>
      <c r="D57" s="146"/>
      <c r="E57" s="146"/>
      <c r="F57" s="146"/>
    </row>
    <row r="58" spans="1:6" ht="15" customHeight="1" x14ac:dyDescent="0.45">
      <c r="A58" s="42" t="s">
        <v>385</v>
      </c>
      <c r="B58" s="47" t="s">
        <v>539</v>
      </c>
      <c r="C58" s="145" t="s">
        <v>540</v>
      </c>
      <c r="D58" s="146"/>
      <c r="E58" s="146"/>
      <c r="F58" s="146"/>
    </row>
    <row r="59" spans="1:6" ht="15" customHeight="1" x14ac:dyDescent="0.45">
      <c r="A59" s="42" t="s">
        <v>541</v>
      </c>
      <c r="B59" s="47" t="s">
        <v>542</v>
      </c>
      <c r="C59" s="145" t="s">
        <v>543</v>
      </c>
      <c r="D59" s="146"/>
      <c r="E59" s="146"/>
      <c r="F59" s="146"/>
    </row>
    <row r="60" spans="1:6" ht="15" customHeight="1" x14ac:dyDescent="0.45">
      <c r="A60" s="42" t="s">
        <v>544</v>
      </c>
      <c r="B60" s="47" t="s">
        <v>455</v>
      </c>
      <c r="C60" s="145" t="s">
        <v>545</v>
      </c>
      <c r="D60" s="146"/>
      <c r="E60" s="146"/>
      <c r="F60" s="146"/>
    </row>
    <row r="61" spans="1:6" ht="15" customHeight="1" x14ac:dyDescent="0.45">
      <c r="A61" s="42" t="s">
        <v>546</v>
      </c>
      <c r="B61" s="47" t="s">
        <v>547</v>
      </c>
      <c r="C61" s="145" t="s">
        <v>548</v>
      </c>
      <c r="D61" s="146"/>
      <c r="E61" s="146"/>
      <c r="F61" s="146"/>
    </row>
    <row r="62" spans="1:6" ht="15" customHeight="1" x14ac:dyDescent="0.45">
      <c r="A62" s="42" t="s">
        <v>549</v>
      </c>
      <c r="B62" s="47" t="s">
        <v>542</v>
      </c>
      <c r="C62" s="145" t="s">
        <v>550</v>
      </c>
      <c r="D62" s="146"/>
      <c r="E62" s="146"/>
      <c r="F62" s="146"/>
    </row>
    <row r="63" spans="1:6" ht="15" customHeight="1" x14ac:dyDescent="0.45">
      <c r="A63" s="42" t="s">
        <v>551</v>
      </c>
      <c r="B63" s="47" t="s">
        <v>552</v>
      </c>
      <c r="C63" s="145" t="s">
        <v>553</v>
      </c>
      <c r="D63" s="146"/>
      <c r="E63" s="146"/>
      <c r="F63" s="146"/>
    </row>
    <row r="64" spans="1:6" ht="15" customHeight="1" x14ac:dyDescent="0.45">
      <c r="A64" s="42" t="s">
        <v>554</v>
      </c>
      <c r="B64" s="47" t="s">
        <v>555</v>
      </c>
      <c r="C64" s="145" t="s">
        <v>556</v>
      </c>
      <c r="D64" s="146"/>
      <c r="E64" s="146"/>
      <c r="F64" s="146"/>
    </row>
    <row r="65" spans="1:6" ht="35.1" customHeight="1" x14ac:dyDescent="0.45">
      <c r="A65" s="46" t="s">
        <v>557</v>
      </c>
      <c r="B65" s="144" t="s">
        <v>558</v>
      </c>
      <c r="C65" s="139"/>
      <c r="D65" s="139"/>
      <c r="E65" s="139"/>
      <c r="F65" s="139"/>
    </row>
  </sheetData>
  <mergeCells count="18">
    <mergeCell ref="A1:F1"/>
    <mergeCell ref="A27:F27"/>
    <mergeCell ref="A15:F15"/>
    <mergeCell ref="C59:F59"/>
    <mergeCell ref="C62:F62"/>
    <mergeCell ref="A40:F40"/>
    <mergeCell ref="C25:F25"/>
    <mergeCell ref="A3:F3"/>
    <mergeCell ref="C57:F57"/>
    <mergeCell ref="C60:F60"/>
    <mergeCell ref="A55:F55"/>
    <mergeCell ref="C58:F58"/>
    <mergeCell ref="B53:F53"/>
    <mergeCell ref="B65:F65"/>
    <mergeCell ref="C61:F61"/>
    <mergeCell ref="C64:F64"/>
    <mergeCell ref="B38:F38"/>
    <mergeCell ref="C63:F6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49"/>
  <sheetViews>
    <sheetView workbookViewId="0">
      <selection sqref="A1:E1"/>
    </sheetView>
  </sheetViews>
  <sheetFormatPr defaultRowHeight="14.25" x14ac:dyDescent="0.45"/>
  <cols>
    <col min="1" max="1" width="38" customWidth="1"/>
    <col min="2" max="2" width="22" customWidth="1"/>
    <col min="3" max="3" width="43.3984375" bestFit="1" customWidth="1"/>
    <col min="4" max="4" width="34.1328125" bestFit="1" customWidth="1"/>
    <col min="5" max="5" width="43" bestFit="1" customWidth="1"/>
  </cols>
  <sheetData>
    <row r="1" spans="1:5" ht="17.350000000000001" customHeight="1" x14ac:dyDescent="0.5">
      <c r="A1" s="147" t="s">
        <v>559</v>
      </c>
      <c r="B1" s="139"/>
      <c r="C1" s="139"/>
      <c r="D1" s="139"/>
      <c r="E1" s="139"/>
    </row>
    <row r="3" spans="1:5" ht="15" customHeight="1" x14ac:dyDescent="0.45">
      <c r="A3" s="148" t="s">
        <v>560</v>
      </c>
      <c r="B3" s="139"/>
      <c r="C3" s="139"/>
      <c r="D3" s="139"/>
      <c r="E3" s="139"/>
    </row>
    <row r="4" spans="1:5" ht="15" customHeight="1" x14ac:dyDescent="0.45">
      <c r="A4" s="37" t="s">
        <v>561</v>
      </c>
      <c r="B4" s="37" t="s">
        <v>562</v>
      </c>
      <c r="C4" s="37" t="s">
        <v>563</v>
      </c>
      <c r="D4" s="37" t="s">
        <v>438</v>
      </c>
      <c r="E4" s="37" t="s">
        <v>564</v>
      </c>
    </row>
    <row r="5" spans="1:5" ht="60" customHeight="1" x14ac:dyDescent="0.45">
      <c r="A5" s="48" t="s">
        <v>565</v>
      </c>
      <c r="B5" s="48" t="s">
        <v>566</v>
      </c>
      <c r="C5" s="48" t="s">
        <v>567</v>
      </c>
      <c r="D5" s="48" t="s">
        <v>568</v>
      </c>
      <c r="E5" s="48" t="s">
        <v>569</v>
      </c>
    </row>
    <row r="6" spans="1:5" ht="60" customHeight="1" x14ac:dyDescent="0.45">
      <c r="A6" s="48" t="s">
        <v>570</v>
      </c>
      <c r="B6" s="48" t="s">
        <v>571</v>
      </c>
      <c r="C6" s="48" t="s">
        <v>572</v>
      </c>
      <c r="D6" s="48" t="s">
        <v>573</v>
      </c>
      <c r="E6" s="48" t="s">
        <v>574</v>
      </c>
    </row>
    <row r="7" spans="1:5" ht="60" customHeight="1" x14ac:dyDescent="0.45">
      <c r="A7" s="48" t="s">
        <v>575</v>
      </c>
      <c r="B7" s="48" t="s">
        <v>576</v>
      </c>
      <c r="C7" s="48" t="s">
        <v>577</v>
      </c>
      <c r="D7" s="48" t="s">
        <v>578</v>
      </c>
      <c r="E7" s="48" t="s">
        <v>579</v>
      </c>
    </row>
    <row r="8" spans="1:5" ht="60" customHeight="1" x14ac:dyDescent="0.45">
      <c r="A8" s="48" t="s">
        <v>580</v>
      </c>
      <c r="B8" s="48" t="s">
        <v>581</v>
      </c>
      <c r="C8" s="48" t="s">
        <v>582</v>
      </c>
      <c r="D8" s="48" t="s">
        <v>583</v>
      </c>
      <c r="E8" s="48" t="s">
        <v>584</v>
      </c>
    </row>
    <row r="9" spans="1:5" ht="60" customHeight="1" x14ac:dyDescent="0.45">
      <c r="A9" s="48" t="s">
        <v>585</v>
      </c>
      <c r="B9" s="48" t="s">
        <v>586</v>
      </c>
      <c r="C9" s="48" t="s">
        <v>587</v>
      </c>
      <c r="D9" s="48" t="s">
        <v>588</v>
      </c>
      <c r="E9" s="48" t="s">
        <v>589</v>
      </c>
    </row>
    <row r="11" spans="1:5" ht="15" customHeight="1" x14ac:dyDescent="0.45">
      <c r="A11" s="148" t="s">
        <v>590</v>
      </c>
      <c r="B11" s="139"/>
      <c r="C11" s="139"/>
      <c r="D11" s="139"/>
      <c r="E11" s="139"/>
    </row>
    <row r="12" spans="1:5" ht="15" customHeight="1" x14ac:dyDescent="0.45">
      <c r="A12" s="37" t="s">
        <v>591</v>
      </c>
      <c r="B12" s="37" t="s">
        <v>592</v>
      </c>
      <c r="C12" s="37" t="s">
        <v>593</v>
      </c>
      <c r="D12" s="37" t="s">
        <v>594</v>
      </c>
      <c r="E12" s="37" t="s">
        <v>595</v>
      </c>
    </row>
    <row r="13" spans="1:5" ht="35.1" customHeight="1" x14ac:dyDescent="0.45">
      <c r="A13" s="38" t="s">
        <v>596</v>
      </c>
      <c r="B13" s="39">
        <v>5</v>
      </c>
      <c r="C13" s="38" t="s">
        <v>597</v>
      </c>
      <c r="D13" s="38" t="s">
        <v>598</v>
      </c>
      <c r="E13" s="38" t="s">
        <v>599</v>
      </c>
    </row>
    <row r="14" spans="1:5" ht="35.1" customHeight="1" x14ac:dyDescent="0.45">
      <c r="A14" s="38" t="s">
        <v>600</v>
      </c>
      <c r="B14" s="39">
        <v>5</v>
      </c>
      <c r="C14" s="38" t="s">
        <v>601</v>
      </c>
      <c r="D14" s="38" t="s">
        <v>598</v>
      </c>
      <c r="E14" s="38" t="s">
        <v>602</v>
      </c>
    </row>
    <row r="15" spans="1:5" ht="23.85" customHeight="1" x14ac:dyDescent="0.45">
      <c r="A15" s="38" t="s">
        <v>603</v>
      </c>
      <c r="B15" s="39">
        <v>4</v>
      </c>
      <c r="C15" s="38" t="s">
        <v>604</v>
      </c>
      <c r="D15" s="38" t="s">
        <v>598</v>
      </c>
      <c r="E15" s="38" t="s">
        <v>605</v>
      </c>
    </row>
    <row r="16" spans="1:5" ht="46.25" customHeight="1" x14ac:dyDescent="0.45">
      <c r="A16" s="38" t="s">
        <v>606</v>
      </c>
      <c r="B16" s="39">
        <v>4</v>
      </c>
      <c r="C16" s="38" t="s">
        <v>607</v>
      </c>
      <c r="D16" s="38" t="s">
        <v>608</v>
      </c>
      <c r="E16" s="38" t="s">
        <v>609</v>
      </c>
    </row>
    <row r="17" spans="1:5" ht="35.1" customHeight="1" x14ac:dyDescent="0.45">
      <c r="A17" s="38" t="s">
        <v>610</v>
      </c>
      <c r="B17" s="39">
        <v>3</v>
      </c>
      <c r="C17" s="38" t="s">
        <v>611</v>
      </c>
      <c r="D17" s="38" t="s">
        <v>608</v>
      </c>
      <c r="E17" s="38" t="s">
        <v>612</v>
      </c>
    </row>
    <row r="18" spans="1:5" ht="46.25" customHeight="1" x14ac:dyDescent="0.45">
      <c r="A18" s="38" t="s">
        <v>613</v>
      </c>
      <c r="B18" s="39">
        <v>3</v>
      </c>
      <c r="C18" s="38" t="s">
        <v>614</v>
      </c>
      <c r="D18" s="38" t="s">
        <v>598</v>
      </c>
      <c r="E18" s="38" t="s">
        <v>615</v>
      </c>
    </row>
    <row r="19" spans="1:5" ht="35.1" customHeight="1" x14ac:dyDescent="0.45">
      <c r="A19" s="38" t="s">
        <v>616</v>
      </c>
      <c r="B19" s="39">
        <v>2</v>
      </c>
      <c r="C19" s="38" t="s">
        <v>617</v>
      </c>
      <c r="D19" s="38" t="s">
        <v>608</v>
      </c>
      <c r="E19" s="38" t="s">
        <v>618</v>
      </c>
    </row>
    <row r="20" spans="1:5" ht="35.1" customHeight="1" x14ac:dyDescent="0.45">
      <c r="A20" s="38" t="s">
        <v>619</v>
      </c>
      <c r="B20" s="39">
        <v>2</v>
      </c>
      <c r="C20" s="38" t="s">
        <v>620</v>
      </c>
      <c r="D20" s="38" t="s">
        <v>608</v>
      </c>
      <c r="E20" s="38" t="s">
        <v>621</v>
      </c>
    </row>
    <row r="21" spans="1:5" ht="23.85" customHeight="1" x14ac:dyDescent="0.45">
      <c r="A21" s="46" t="s">
        <v>622</v>
      </c>
      <c r="B21" s="150" t="s">
        <v>623</v>
      </c>
      <c r="C21" s="139"/>
      <c r="D21" s="139"/>
      <c r="E21" s="139"/>
    </row>
    <row r="23" spans="1:5" ht="15" customHeight="1" x14ac:dyDescent="0.45">
      <c r="A23" s="148" t="s">
        <v>624</v>
      </c>
      <c r="B23" s="139"/>
      <c r="C23" s="139"/>
      <c r="D23" s="139"/>
      <c r="E23" s="139"/>
    </row>
    <row r="24" spans="1:5" ht="15" customHeight="1" x14ac:dyDescent="0.45">
      <c r="A24" s="37" t="s">
        <v>625</v>
      </c>
      <c r="B24" s="37" t="s">
        <v>626</v>
      </c>
      <c r="C24" s="37" t="s">
        <v>627</v>
      </c>
      <c r="D24" s="37" t="s">
        <v>628</v>
      </c>
      <c r="E24" s="37" t="s">
        <v>629</v>
      </c>
    </row>
    <row r="25" spans="1:5" ht="15" customHeight="1" x14ac:dyDescent="0.45">
      <c r="A25" s="49" t="s">
        <v>630</v>
      </c>
      <c r="B25" s="49"/>
      <c r="C25" s="49"/>
      <c r="D25" s="49"/>
      <c r="E25" s="49"/>
    </row>
    <row r="26" spans="1:5" ht="23.85" customHeight="1" x14ac:dyDescent="0.45">
      <c r="A26" s="38" t="s">
        <v>631</v>
      </c>
      <c r="B26" s="38" t="s">
        <v>632</v>
      </c>
      <c r="C26" s="39" t="s">
        <v>633</v>
      </c>
      <c r="D26" s="39" t="s">
        <v>634</v>
      </c>
      <c r="E26" s="38" t="s">
        <v>635</v>
      </c>
    </row>
    <row r="27" spans="1:5" ht="35.1" customHeight="1" x14ac:dyDescent="0.45">
      <c r="A27" s="38" t="s">
        <v>636</v>
      </c>
      <c r="B27" s="38" t="s">
        <v>637</v>
      </c>
      <c r="C27" s="39" t="s">
        <v>638</v>
      </c>
      <c r="D27" s="39" t="s">
        <v>639</v>
      </c>
      <c r="E27" s="38" t="s">
        <v>640</v>
      </c>
    </row>
    <row r="28" spans="1:5" ht="35.1" customHeight="1" x14ac:dyDescent="0.45">
      <c r="A28" s="38" t="s">
        <v>641</v>
      </c>
      <c r="B28" s="38" t="s">
        <v>642</v>
      </c>
      <c r="C28" s="39" t="s">
        <v>643</v>
      </c>
      <c r="D28" s="39" t="s">
        <v>644</v>
      </c>
      <c r="E28" s="38" t="s">
        <v>645</v>
      </c>
    </row>
    <row r="29" spans="1:5" ht="35.1" customHeight="1" x14ac:dyDescent="0.45">
      <c r="A29" s="38" t="s">
        <v>646</v>
      </c>
      <c r="B29" s="38" t="s">
        <v>647</v>
      </c>
      <c r="C29" s="39" t="s">
        <v>648</v>
      </c>
      <c r="D29" s="39" t="s">
        <v>649</v>
      </c>
      <c r="E29" s="38" t="s">
        <v>650</v>
      </c>
    </row>
    <row r="30" spans="1:5" ht="35.1" customHeight="1" x14ac:dyDescent="0.45">
      <c r="A30" s="38" t="s">
        <v>651</v>
      </c>
      <c r="B30" s="38" t="s">
        <v>652</v>
      </c>
      <c r="C30" s="39" t="s">
        <v>653</v>
      </c>
      <c r="D30" s="39" t="s">
        <v>644</v>
      </c>
      <c r="E30" s="38" t="s">
        <v>654</v>
      </c>
    </row>
    <row r="31" spans="1:5" ht="15" customHeight="1" x14ac:dyDescent="0.45">
      <c r="A31" s="50"/>
      <c r="B31" s="50"/>
      <c r="C31" s="50"/>
      <c r="D31" s="50"/>
      <c r="E31" s="50"/>
    </row>
    <row r="32" spans="1:5" ht="23.85" customHeight="1" x14ac:dyDescent="0.45">
      <c r="A32" s="49" t="s">
        <v>655</v>
      </c>
      <c r="B32" s="49"/>
      <c r="C32" s="49"/>
      <c r="D32" s="49"/>
      <c r="E32" s="49"/>
    </row>
    <row r="33" spans="1:5" ht="35.1" customHeight="1" x14ac:dyDescent="0.45">
      <c r="A33" s="38" t="s">
        <v>656</v>
      </c>
      <c r="B33" s="38" t="s">
        <v>657</v>
      </c>
      <c r="C33" s="39" t="s">
        <v>658</v>
      </c>
      <c r="D33" s="39" t="s">
        <v>659</v>
      </c>
      <c r="E33" s="38" t="s">
        <v>660</v>
      </c>
    </row>
    <row r="34" spans="1:5" ht="23.85" customHeight="1" x14ac:dyDescent="0.45">
      <c r="A34" s="38" t="s">
        <v>661</v>
      </c>
      <c r="B34" s="38" t="s">
        <v>662</v>
      </c>
      <c r="C34" s="39" t="s">
        <v>663</v>
      </c>
      <c r="D34" s="39" t="s">
        <v>664</v>
      </c>
      <c r="E34" s="38" t="s">
        <v>665</v>
      </c>
    </row>
    <row r="35" spans="1:5" ht="35.1" customHeight="1" x14ac:dyDescent="0.45">
      <c r="A35" s="38" t="s">
        <v>666</v>
      </c>
      <c r="B35" s="38" t="s">
        <v>667</v>
      </c>
      <c r="C35" s="39" t="s">
        <v>638</v>
      </c>
      <c r="D35" s="39" t="s">
        <v>668</v>
      </c>
      <c r="E35" s="38" t="s">
        <v>669</v>
      </c>
    </row>
    <row r="36" spans="1:5" ht="35.1" customHeight="1" x14ac:dyDescent="0.45">
      <c r="A36" s="38" t="s">
        <v>670</v>
      </c>
      <c r="B36" s="38" t="s">
        <v>671</v>
      </c>
      <c r="C36" s="39" t="s">
        <v>672</v>
      </c>
      <c r="D36" s="39" t="s">
        <v>673</v>
      </c>
      <c r="E36" s="38" t="s">
        <v>674</v>
      </c>
    </row>
    <row r="37" spans="1:5" ht="35.1" customHeight="1" x14ac:dyDescent="0.45">
      <c r="A37" s="38" t="s">
        <v>675</v>
      </c>
      <c r="B37" s="38" t="s">
        <v>676</v>
      </c>
      <c r="C37" s="39" t="s">
        <v>638</v>
      </c>
      <c r="D37" s="39" t="s">
        <v>677</v>
      </c>
      <c r="E37" s="38" t="s">
        <v>678</v>
      </c>
    </row>
    <row r="38" spans="1:5" ht="35.1" customHeight="1" x14ac:dyDescent="0.45">
      <c r="A38" s="38" t="s">
        <v>679</v>
      </c>
      <c r="B38" s="38" t="s">
        <v>680</v>
      </c>
      <c r="C38" s="50"/>
      <c r="D38" s="39" t="s">
        <v>644</v>
      </c>
      <c r="E38" s="38" t="s">
        <v>681</v>
      </c>
    </row>
    <row r="40" spans="1:5" ht="15" customHeight="1" x14ac:dyDescent="0.45">
      <c r="A40" s="148" t="s">
        <v>682</v>
      </c>
      <c r="B40" s="139"/>
      <c r="C40" s="139"/>
      <c r="D40" s="139"/>
      <c r="E40" s="139"/>
    </row>
    <row r="41" spans="1:5" ht="15" customHeight="1" x14ac:dyDescent="0.45">
      <c r="A41" s="37" t="s">
        <v>683</v>
      </c>
      <c r="B41" s="37" t="s">
        <v>684</v>
      </c>
      <c r="C41" s="37" t="s">
        <v>685</v>
      </c>
      <c r="D41" s="37" t="s">
        <v>686</v>
      </c>
      <c r="E41" s="37" t="s">
        <v>687</v>
      </c>
    </row>
    <row r="42" spans="1:5" ht="23.85" customHeight="1" x14ac:dyDescent="0.45">
      <c r="A42" s="38" t="s">
        <v>688</v>
      </c>
      <c r="B42" s="38" t="s">
        <v>689</v>
      </c>
      <c r="C42" s="39" t="s">
        <v>690</v>
      </c>
      <c r="D42" s="39" t="s">
        <v>691</v>
      </c>
      <c r="E42" s="51" t="s">
        <v>692</v>
      </c>
    </row>
    <row r="43" spans="1:5" ht="35.1" customHeight="1" x14ac:dyDescent="0.45">
      <c r="A43" s="38" t="s">
        <v>693</v>
      </c>
      <c r="B43" s="38" t="s">
        <v>694</v>
      </c>
      <c r="C43" s="39" t="s">
        <v>695</v>
      </c>
      <c r="D43" s="39" t="s">
        <v>696</v>
      </c>
      <c r="E43" s="51" t="s">
        <v>697</v>
      </c>
    </row>
    <row r="44" spans="1:5" ht="35.1" customHeight="1" x14ac:dyDescent="0.45">
      <c r="A44" s="38" t="s">
        <v>698</v>
      </c>
      <c r="B44" s="38" t="s">
        <v>694</v>
      </c>
      <c r="C44" s="39" t="s">
        <v>699</v>
      </c>
      <c r="D44" s="39" t="s">
        <v>700</v>
      </c>
      <c r="E44" s="51" t="s">
        <v>701</v>
      </c>
    </row>
    <row r="45" spans="1:5" ht="23.85" customHeight="1" x14ac:dyDescent="0.45">
      <c r="A45" s="38" t="s">
        <v>702</v>
      </c>
      <c r="B45" s="38" t="s">
        <v>703</v>
      </c>
      <c r="C45" s="39" t="s">
        <v>704</v>
      </c>
      <c r="D45" s="39" t="s">
        <v>705</v>
      </c>
      <c r="E45" s="51" t="s">
        <v>706</v>
      </c>
    </row>
    <row r="46" spans="1:5" ht="23.85" customHeight="1" x14ac:dyDescent="0.45">
      <c r="A46" s="38" t="s">
        <v>707</v>
      </c>
      <c r="B46" s="38" t="s">
        <v>708</v>
      </c>
      <c r="C46" s="39" t="s">
        <v>709</v>
      </c>
      <c r="D46" s="39" t="s">
        <v>710</v>
      </c>
      <c r="E46" s="51" t="s">
        <v>711</v>
      </c>
    </row>
    <row r="47" spans="1:5" ht="23.85" customHeight="1" x14ac:dyDescent="0.45">
      <c r="A47" s="38" t="s">
        <v>712</v>
      </c>
      <c r="B47" s="38" t="s">
        <v>713</v>
      </c>
      <c r="C47" s="39" t="s">
        <v>714</v>
      </c>
      <c r="D47" s="39" t="s">
        <v>715</v>
      </c>
      <c r="E47" s="51" t="s">
        <v>716</v>
      </c>
    </row>
    <row r="49" spans="1:5" ht="35.1" customHeight="1" x14ac:dyDescent="0.45">
      <c r="A49" s="46" t="s">
        <v>717</v>
      </c>
      <c r="B49" s="144" t="s">
        <v>718</v>
      </c>
      <c r="C49" s="139"/>
      <c r="D49" s="139"/>
      <c r="E49" s="139"/>
    </row>
  </sheetData>
  <mergeCells count="7">
    <mergeCell ref="B49:E49"/>
    <mergeCell ref="B21:E21"/>
    <mergeCell ref="A11:E11"/>
    <mergeCell ref="A1:E1"/>
    <mergeCell ref="A23:E23"/>
    <mergeCell ref="A40:E40"/>
    <mergeCell ref="A3:E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42"/>
  <sheetViews>
    <sheetView topLeftCell="A28" workbookViewId="0">
      <selection sqref="A1:E1"/>
    </sheetView>
  </sheetViews>
  <sheetFormatPr defaultRowHeight="14.25" x14ac:dyDescent="0.45"/>
  <cols>
    <col min="1" max="1" width="38" customWidth="1"/>
    <col min="2" max="2" width="42.3984375" bestFit="1" customWidth="1"/>
  </cols>
  <sheetData>
    <row r="1" spans="1:5" ht="17.350000000000001" customHeight="1" x14ac:dyDescent="0.5">
      <c r="A1" s="147" t="s">
        <v>719</v>
      </c>
      <c r="B1" s="139"/>
      <c r="C1" s="139"/>
      <c r="D1" s="139"/>
      <c r="E1" s="139"/>
    </row>
    <row r="3" spans="1:5" ht="15" customHeight="1" x14ac:dyDescent="0.45">
      <c r="A3" s="148" t="s">
        <v>720</v>
      </c>
      <c r="B3" s="139"/>
      <c r="C3" s="139"/>
      <c r="D3" s="139"/>
      <c r="E3" s="139"/>
    </row>
    <row r="4" spans="1:5" ht="15" customHeight="1" x14ac:dyDescent="0.45">
      <c r="A4" s="37" t="s">
        <v>721</v>
      </c>
      <c r="B4" s="37" t="s">
        <v>722</v>
      </c>
      <c r="C4" s="37" t="s">
        <v>723</v>
      </c>
      <c r="D4" s="37" t="s">
        <v>724</v>
      </c>
      <c r="E4" s="37" t="s">
        <v>725</v>
      </c>
    </row>
    <row r="5" spans="1:5" ht="23.85" customHeight="1" x14ac:dyDescent="0.45">
      <c r="A5" s="38" t="s">
        <v>726</v>
      </c>
      <c r="B5" s="52">
        <v>121000</v>
      </c>
      <c r="C5" s="53">
        <v>0.22700000000000001</v>
      </c>
      <c r="D5" s="38" t="s">
        <v>727</v>
      </c>
      <c r="E5" s="38" t="s">
        <v>728</v>
      </c>
    </row>
    <row r="6" spans="1:5" ht="23.85" customHeight="1" x14ac:dyDescent="0.45">
      <c r="A6" s="38" t="s">
        <v>729</v>
      </c>
      <c r="B6" s="52">
        <v>76300</v>
      </c>
      <c r="C6" s="53">
        <v>0.14299999999999999</v>
      </c>
      <c r="D6" s="38" t="s">
        <v>730</v>
      </c>
      <c r="E6" s="38" t="s">
        <v>731</v>
      </c>
    </row>
    <row r="7" spans="1:5" ht="23.85" customHeight="1" x14ac:dyDescent="0.45">
      <c r="A7" s="38" t="s">
        <v>732</v>
      </c>
      <c r="B7" s="52">
        <v>45000</v>
      </c>
      <c r="C7" s="53">
        <v>8.4000000000000005E-2</v>
      </c>
      <c r="D7" s="38" t="s">
        <v>730</v>
      </c>
      <c r="E7" s="38" t="s">
        <v>733</v>
      </c>
    </row>
    <row r="8" spans="1:5" ht="35.1" customHeight="1" x14ac:dyDescent="0.45">
      <c r="A8" s="38" t="s">
        <v>734</v>
      </c>
      <c r="B8" s="52">
        <v>160000</v>
      </c>
      <c r="C8" s="53">
        <v>0.3</v>
      </c>
      <c r="D8" s="38" t="s">
        <v>735</v>
      </c>
      <c r="E8" s="38" t="s">
        <v>736</v>
      </c>
    </row>
    <row r="9" spans="1:5" ht="23.85" customHeight="1" x14ac:dyDescent="0.45">
      <c r="A9" s="38" t="s">
        <v>737</v>
      </c>
      <c r="B9" s="52">
        <v>55000</v>
      </c>
      <c r="C9" s="53">
        <v>0.10299999999999999</v>
      </c>
      <c r="D9" s="38" t="s">
        <v>738</v>
      </c>
      <c r="E9" s="38" t="s">
        <v>739</v>
      </c>
    </row>
    <row r="10" spans="1:5" ht="23.85" customHeight="1" x14ac:dyDescent="0.45">
      <c r="A10" s="38" t="s">
        <v>740</v>
      </c>
      <c r="B10" s="52">
        <v>106789</v>
      </c>
      <c r="C10" s="53">
        <v>0.2</v>
      </c>
      <c r="D10" s="38" t="s">
        <v>741</v>
      </c>
      <c r="E10" s="38" t="s">
        <v>742</v>
      </c>
    </row>
    <row r="11" spans="1:5" ht="15" customHeight="1" x14ac:dyDescent="0.45">
      <c r="A11" s="38" t="s">
        <v>743</v>
      </c>
      <c r="B11" s="52">
        <v>75000</v>
      </c>
      <c r="C11" s="53">
        <v>0.14099999999999999</v>
      </c>
      <c r="D11" s="38" t="s">
        <v>744</v>
      </c>
      <c r="E11" s="38" t="s">
        <v>745</v>
      </c>
    </row>
    <row r="12" spans="1:5" ht="15" customHeight="1" x14ac:dyDescent="0.45">
      <c r="A12" s="40" t="s">
        <v>746</v>
      </c>
      <c r="B12" s="54">
        <v>533011</v>
      </c>
      <c r="C12" s="5" t="s">
        <v>747</v>
      </c>
    </row>
    <row r="14" spans="1:5" ht="15" customHeight="1" x14ac:dyDescent="0.45">
      <c r="A14" s="148" t="s">
        <v>748</v>
      </c>
      <c r="B14" s="139"/>
      <c r="C14" s="139"/>
      <c r="D14" s="139"/>
      <c r="E14" s="139"/>
    </row>
    <row r="15" spans="1:5" ht="15" customHeight="1" x14ac:dyDescent="0.45">
      <c r="A15" s="37" t="s">
        <v>533</v>
      </c>
      <c r="B15" s="37" t="s">
        <v>749</v>
      </c>
      <c r="C15" s="37" t="s">
        <v>750</v>
      </c>
      <c r="D15" s="37" t="s">
        <v>563</v>
      </c>
      <c r="E15" s="37" t="s">
        <v>751</v>
      </c>
    </row>
    <row r="16" spans="1:5" ht="39.75" customHeight="1" x14ac:dyDescent="0.45">
      <c r="A16" s="48" t="s">
        <v>752</v>
      </c>
      <c r="B16" s="48" t="s">
        <v>753</v>
      </c>
      <c r="C16" s="48" t="s">
        <v>754</v>
      </c>
      <c r="D16" s="48" t="s">
        <v>755</v>
      </c>
      <c r="E16" s="48" t="s">
        <v>756</v>
      </c>
    </row>
    <row r="17" spans="1:5" ht="39.75" customHeight="1" x14ac:dyDescent="0.45">
      <c r="A17" s="48" t="s">
        <v>757</v>
      </c>
      <c r="B17" s="55" t="s">
        <v>758</v>
      </c>
      <c r="C17" s="48" t="s">
        <v>759</v>
      </c>
      <c r="D17" s="48" t="s">
        <v>760</v>
      </c>
      <c r="E17" s="48" t="s">
        <v>761</v>
      </c>
    </row>
    <row r="18" spans="1:5" ht="39.75" customHeight="1" x14ac:dyDescent="0.45">
      <c r="A18" s="48" t="s">
        <v>762</v>
      </c>
      <c r="B18" s="48" t="s">
        <v>763</v>
      </c>
      <c r="C18" s="48" t="s">
        <v>764</v>
      </c>
      <c r="D18" s="48" t="s">
        <v>765</v>
      </c>
      <c r="E18" s="48" t="s">
        <v>766</v>
      </c>
    </row>
    <row r="19" spans="1:5" ht="39.75" customHeight="1" x14ac:dyDescent="0.45">
      <c r="A19" s="48" t="s">
        <v>767</v>
      </c>
      <c r="B19" s="55" t="s">
        <v>758</v>
      </c>
      <c r="C19" s="48" t="s">
        <v>768</v>
      </c>
      <c r="D19" s="48" t="s">
        <v>769</v>
      </c>
      <c r="E19" s="48" t="s">
        <v>770</v>
      </c>
    </row>
    <row r="20" spans="1:5" ht="39.75" customHeight="1" x14ac:dyDescent="0.45">
      <c r="A20" s="48" t="s">
        <v>771</v>
      </c>
      <c r="B20" s="56" t="s">
        <v>772</v>
      </c>
      <c r="C20" s="48" t="s">
        <v>773</v>
      </c>
      <c r="D20" s="48" t="s">
        <v>774</v>
      </c>
      <c r="E20" s="48" t="s">
        <v>775</v>
      </c>
    </row>
    <row r="21" spans="1:5" ht="39.75" customHeight="1" x14ac:dyDescent="0.45">
      <c r="A21" s="48" t="s">
        <v>776</v>
      </c>
      <c r="B21" s="56" t="s">
        <v>777</v>
      </c>
      <c r="C21" s="48" t="s">
        <v>778</v>
      </c>
      <c r="D21" s="48" t="s">
        <v>779</v>
      </c>
      <c r="E21" s="48" t="s">
        <v>780</v>
      </c>
    </row>
    <row r="22" spans="1:5" ht="39.75" customHeight="1" x14ac:dyDescent="0.45">
      <c r="A22" s="48" t="s">
        <v>781</v>
      </c>
      <c r="B22" s="56" t="s">
        <v>777</v>
      </c>
      <c r="C22" s="48" t="s">
        <v>782</v>
      </c>
      <c r="D22" s="48" t="s">
        <v>783</v>
      </c>
      <c r="E22" s="48" t="s">
        <v>784</v>
      </c>
    </row>
    <row r="23" spans="1:5" ht="39.75" customHeight="1" x14ac:dyDescent="0.45">
      <c r="A23" s="48" t="s">
        <v>785</v>
      </c>
      <c r="B23" s="56" t="s">
        <v>777</v>
      </c>
      <c r="C23" s="48" t="s">
        <v>786</v>
      </c>
      <c r="D23" s="48" t="s">
        <v>787</v>
      </c>
      <c r="E23" s="48" t="s">
        <v>788</v>
      </c>
    </row>
    <row r="25" spans="1:5" ht="15" customHeight="1" x14ac:dyDescent="0.45">
      <c r="A25" s="148" t="s">
        <v>789</v>
      </c>
      <c r="B25" s="139"/>
      <c r="C25" s="139"/>
      <c r="D25" s="139"/>
      <c r="E25" s="139"/>
    </row>
    <row r="26" spans="1:5" ht="15" customHeight="1" x14ac:dyDescent="0.45">
      <c r="A26" s="37" t="s">
        <v>790</v>
      </c>
      <c r="B26" s="37" t="s">
        <v>791</v>
      </c>
      <c r="C26" s="37" t="s">
        <v>792</v>
      </c>
      <c r="D26" s="37" t="s">
        <v>793</v>
      </c>
      <c r="E26" s="37" t="s">
        <v>794</v>
      </c>
    </row>
    <row r="27" spans="1:5" ht="23.85" customHeight="1" x14ac:dyDescent="0.45">
      <c r="A27" s="38" t="s">
        <v>795</v>
      </c>
      <c r="B27" s="38" t="s">
        <v>796</v>
      </c>
      <c r="C27" s="38" t="s">
        <v>797</v>
      </c>
      <c r="D27" s="38" t="s">
        <v>798</v>
      </c>
      <c r="E27" s="39" t="s">
        <v>799</v>
      </c>
    </row>
    <row r="28" spans="1:5" ht="23.85" customHeight="1" x14ac:dyDescent="0.45">
      <c r="A28" s="38" t="s">
        <v>800</v>
      </c>
      <c r="B28" s="38" t="s">
        <v>801</v>
      </c>
      <c r="C28" s="38" t="s">
        <v>802</v>
      </c>
      <c r="D28" s="38" t="s">
        <v>803</v>
      </c>
      <c r="E28" s="39" t="s">
        <v>804</v>
      </c>
    </row>
    <row r="29" spans="1:5" ht="35.1" customHeight="1" x14ac:dyDescent="0.45">
      <c r="A29" s="38" t="s">
        <v>805</v>
      </c>
      <c r="B29" s="38" t="s">
        <v>806</v>
      </c>
      <c r="C29" s="38" t="s">
        <v>807</v>
      </c>
      <c r="D29" s="38" t="s">
        <v>647</v>
      </c>
      <c r="E29" s="39" t="s">
        <v>804</v>
      </c>
    </row>
    <row r="30" spans="1:5" ht="35.1" customHeight="1" x14ac:dyDescent="0.45">
      <c r="A30" s="38" t="s">
        <v>808</v>
      </c>
      <c r="B30" s="38" t="s">
        <v>809</v>
      </c>
      <c r="C30" s="38" t="s">
        <v>810</v>
      </c>
      <c r="D30" s="38" t="s">
        <v>811</v>
      </c>
      <c r="E30" s="39" t="s">
        <v>799</v>
      </c>
    </row>
    <row r="31" spans="1:5" ht="35.1" customHeight="1" x14ac:dyDescent="0.45">
      <c r="A31" s="38" t="s">
        <v>812</v>
      </c>
      <c r="B31" s="38" t="s">
        <v>813</v>
      </c>
      <c r="C31" s="38" t="s">
        <v>814</v>
      </c>
      <c r="D31" s="38" t="s">
        <v>815</v>
      </c>
      <c r="E31" s="39" t="s">
        <v>804</v>
      </c>
    </row>
    <row r="32" spans="1:5" ht="23.85" customHeight="1" x14ac:dyDescent="0.45">
      <c r="A32" s="38" t="s">
        <v>816</v>
      </c>
      <c r="B32" s="38" t="s">
        <v>817</v>
      </c>
      <c r="C32" s="38" t="s">
        <v>818</v>
      </c>
      <c r="D32" s="38" t="s">
        <v>819</v>
      </c>
      <c r="E32" s="39" t="s">
        <v>820</v>
      </c>
    </row>
    <row r="34" spans="1:5" ht="15" customHeight="1" x14ac:dyDescent="0.45">
      <c r="A34" s="148" t="s">
        <v>821</v>
      </c>
      <c r="B34" s="139"/>
      <c r="C34" s="139"/>
      <c r="D34" s="139"/>
      <c r="E34" s="139"/>
    </row>
    <row r="35" spans="1:5" ht="15" customHeight="1" x14ac:dyDescent="0.45">
      <c r="A35" s="153" t="s">
        <v>822</v>
      </c>
      <c r="B35" s="139"/>
      <c r="C35" s="154" t="s">
        <v>823</v>
      </c>
      <c r="D35" s="139"/>
      <c r="E35" s="139"/>
    </row>
    <row r="36" spans="1:5" ht="34.5" customHeight="1" x14ac:dyDescent="0.45">
      <c r="A36" s="152" t="s">
        <v>824</v>
      </c>
      <c r="B36" s="146"/>
      <c r="C36" s="151" t="s">
        <v>825</v>
      </c>
      <c r="D36" s="146"/>
      <c r="E36" s="146"/>
    </row>
    <row r="37" spans="1:5" ht="34.5" customHeight="1" x14ac:dyDescent="0.45">
      <c r="A37" s="152" t="s">
        <v>826</v>
      </c>
      <c r="B37" s="146"/>
      <c r="C37" s="151" t="s">
        <v>827</v>
      </c>
      <c r="D37" s="146"/>
      <c r="E37" s="146"/>
    </row>
    <row r="38" spans="1:5" ht="34.5" customHeight="1" x14ac:dyDescent="0.45">
      <c r="A38" s="152" t="s">
        <v>828</v>
      </c>
      <c r="B38" s="146"/>
      <c r="C38" s="151" t="s">
        <v>829</v>
      </c>
      <c r="D38" s="146"/>
      <c r="E38" s="146"/>
    </row>
    <row r="39" spans="1:5" ht="34.5" customHeight="1" x14ac:dyDescent="0.45">
      <c r="A39" s="152" t="s">
        <v>830</v>
      </c>
      <c r="B39" s="146"/>
      <c r="C39" s="151" t="s">
        <v>831</v>
      </c>
      <c r="D39" s="146"/>
      <c r="E39" s="146"/>
    </row>
    <row r="40" spans="1:5" ht="34.5" customHeight="1" x14ac:dyDescent="0.45">
      <c r="A40" s="152" t="s">
        <v>832</v>
      </c>
      <c r="B40" s="146"/>
      <c r="C40" s="151" t="s">
        <v>833</v>
      </c>
      <c r="D40" s="146"/>
      <c r="E40" s="146"/>
    </row>
    <row r="41" spans="1:5" x14ac:dyDescent="0.45">
      <c r="A41" s="152" t="s">
        <v>834</v>
      </c>
      <c r="B41" s="146"/>
      <c r="C41" s="151" t="s">
        <v>835</v>
      </c>
      <c r="D41" s="146"/>
      <c r="E41" s="146"/>
    </row>
    <row r="42" spans="1:5" x14ac:dyDescent="0.45">
      <c r="A42" s="46" t="s">
        <v>836</v>
      </c>
      <c r="B42" s="150" t="s">
        <v>837</v>
      </c>
      <c r="C42" s="139"/>
      <c r="D42" s="139"/>
      <c r="E42" s="139"/>
    </row>
  </sheetData>
  <mergeCells count="20">
    <mergeCell ref="B42:E42"/>
    <mergeCell ref="A35:B35"/>
    <mergeCell ref="A38:B38"/>
    <mergeCell ref="A40:B40"/>
    <mergeCell ref="C35:E35"/>
    <mergeCell ref="A39:B39"/>
    <mergeCell ref="A34:E34"/>
    <mergeCell ref="C41:E41"/>
    <mergeCell ref="C40:E40"/>
    <mergeCell ref="A36:B36"/>
    <mergeCell ref="A1:E1"/>
    <mergeCell ref="C36:E36"/>
    <mergeCell ref="A41:B41"/>
    <mergeCell ref="A25:E25"/>
    <mergeCell ref="C39:E39"/>
    <mergeCell ref="A37:B37"/>
    <mergeCell ref="C38:E38"/>
    <mergeCell ref="A3:E3"/>
    <mergeCell ref="C37:E37"/>
    <mergeCell ref="A14:E1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53"/>
  <sheetViews>
    <sheetView topLeftCell="A3" workbookViewId="0">
      <selection activeCell="K13" sqref="K13"/>
    </sheetView>
  </sheetViews>
  <sheetFormatPr defaultRowHeight="14.25" x14ac:dyDescent="0.45"/>
  <cols>
    <col min="1" max="1" width="39.3984375" bestFit="1" customWidth="1"/>
    <col min="2" max="2" width="13.53125" bestFit="1" customWidth="1"/>
    <col min="3" max="3" width="15.6640625" bestFit="1" customWidth="1"/>
    <col min="4" max="4" width="18.86328125" bestFit="1" customWidth="1"/>
    <col min="5" max="5" width="35.265625" bestFit="1" customWidth="1"/>
  </cols>
  <sheetData>
    <row r="1" spans="1:5" ht="17.350000000000001" customHeight="1" x14ac:dyDescent="0.5">
      <c r="A1" s="147" t="s">
        <v>838</v>
      </c>
      <c r="B1" s="139"/>
      <c r="C1" s="139"/>
      <c r="D1" s="139"/>
      <c r="E1" s="139"/>
    </row>
    <row r="3" spans="1:5" ht="15" customHeight="1" x14ac:dyDescent="0.45">
      <c r="A3" s="148" t="s">
        <v>839</v>
      </c>
      <c r="B3" s="139"/>
      <c r="C3" s="139"/>
      <c r="D3" s="139"/>
      <c r="E3" s="139"/>
    </row>
    <row r="4" spans="1:5" ht="26.85" customHeight="1" x14ac:dyDescent="0.45">
      <c r="A4" s="37" t="s">
        <v>396</v>
      </c>
      <c r="B4" s="37" t="s">
        <v>628</v>
      </c>
      <c r="C4" s="37" t="s">
        <v>840</v>
      </c>
      <c r="D4" s="37" t="s">
        <v>841</v>
      </c>
      <c r="E4" s="37" t="s">
        <v>842</v>
      </c>
    </row>
    <row r="5" spans="1:5" ht="15" customHeight="1" x14ac:dyDescent="0.45">
      <c r="A5" s="42" t="s">
        <v>400</v>
      </c>
      <c r="B5" s="43">
        <v>0.2</v>
      </c>
      <c r="C5" s="45">
        <v>2800</v>
      </c>
      <c r="D5" s="57">
        <f>(C5-3670)/3670</f>
        <v>-0.23705722070844687</v>
      </c>
      <c r="E5" s="57">
        <f>B5*D5</f>
        <v>-4.7411444141689379E-2</v>
      </c>
    </row>
    <row r="6" spans="1:5" ht="15" customHeight="1" x14ac:dyDescent="0.45">
      <c r="A6" s="42" t="s">
        <v>375</v>
      </c>
      <c r="B6" s="43">
        <v>0.55000000000000004</v>
      </c>
      <c r="C6" s="45">
        <v>4800</v>
      </c>
      <c r="D6" s="57">
        <f>(C6-3670)/3670</f>
        <v>0.30790190735694822</v>
      </c>
      <c r="E6" s="57">
        <f>B6*D6</f>
        <v>0.16934604904632153</v>
      </c>
    </row>
    <row r="7" spans="1:5" ht="15" customHeight="1" x14ac:dyDescent="0.45">
      <c r="A7" s="42" t="s">
        <v>401</v>
      </c>
      <c r="B7" s="43">
        <v>0.25</v>
      </c>
      <c r="C7" s="45">
        <v>5400</v>
      </c>
      <c r="D7" s="57">
        <f>(C7-3670)/3670</f>
        <v>0.47138964577656678</v>
      </c>
      <c r="E7" s="57">
        <f>B7*D7</f>
        <v>0.11784741144414169</v>
      </c>
    </row>
    <row r="8" spans="1:5" ht="15" customHeight="1" x14ac:dyDescent="0.45">
      <c r="A8" s="58" t="s">
        <v>843</v>
      </c>
      <c r="E8" s="59">
        <f>SUM(E5:E7)</f>
        <v>0.23978201634877383</v>
      </c>
    </row>
    <row r="9" spans="1:5" ht="15" customHeight="1" x14ac:dyDescent="0.45">
      <c r="A9" s="58" t="s">
        <v>844</v>
      </c>
      <c r="E9" s="60">
        <f>SUMPRODUCT(B5:B7,C5:C7)</f>
        <v>4550</v>
      </c>
    </row>
    <row r="10" spans="1:5" ht="15" customHeight="1" x14ac:dyDescent="0.45">
      <c r="A10" s="58" t="s">
        <v>845</v>
      </c>
      <c r="E10" s="61">
        <f>IFERROR(ABS((C6-3670)/(3670-C5)),"N/A")</f>
        <v>1.2988505747126438</v>
      </c>
    </row>
    <row r="12" spans="1:5" ht="15" customHeight="1" x14ac:dyDescent="0.45">
      <c r="A12" s="148" t="s">
        <v>846</v>
      </c>
      <c r="B12" s="139"/>
      <c r="C12" s="139"/>
      <c r="D12" s="139"/>
      <c r="E12" s="139"/>
    </row>
    <row r="13" spans="1:5" ht="15" customHeight="1" x14ac:dyDescent="0.45">
      <c r="A13" s="37" t="s">
        <v>374</v>
      </c>
      <c r="B13" s="37" t="s">
        <v>400</v>
      </c>
      <c r="C13" s="37" t="s">
        <v>375</v>
      </c>
      <c r="D13" s="37" t="s">
        <v>401</v>
      </c>
      <c r="E13" s="37" t="s">
        <v>290</v>
      </c>
    </row>
    <row r="14" spans="1:5" ht="35.1" customHeight="1" x14ac:dyDescent="0.45">
      <c r="A14" s="38" t="s">
        <v>847</v>
      </c>
      <c r="B14" s="39">
        <v>175</v>
      </c>
      <c r="C14" s="39">
        <v>195</v>
      </c>
      <c r="D14" s="39">
        <v>210</v>
      </c>
      <c r="E14" s="38" t="s">
        <v>848</v>
      </c>
    </row>
    <row r="15" spans="1:5" ht="46.25" customHeight="1" x14ac:dyDescent="0.45">
      <c r="A15" s="38" t="s">
        <v>849</v>
      </c>
      <c r="B15" s="39" t="s">
        <v>850</v>
      </c>
      <c r="C15" s="39" t="s">
        <v>365</v>
      </c>
      <c r="D15" s="39" t="s">
        <v>851</v>
      </c>
      <c r="E15" s="38" t="s">
        <v>852</v>
      </c>
    </row>
    <row r="16" spans="1:5" ht="23.85" customHeight="1" x14ac:dyDescent="0.45">
      <c r="A16" s="38" t="s">
        <v>688</v>
      </c>
      <c r="B16" s="39" t="s">
        <v>853</v>
      </c>
      <c r="C16" s="39" t="s">
        <v>854</v>
      </c>
      <c r="D16" s="39" t="s">
        <v>855</v>
      </c>
      <c r="E16" s="38" t="s">
        <v>856</v>
      </c>
    </row>
    <row r="17" spans="1:5" ht="46.25" customHeight="1" x14ac:dyDescent="0.45">
      <c r="A17" s="38" t="s">
        <v>857</v>
      </c>
      <c r="B17" s="39" t="s">
        <v>858</v>
      </c>
      <c r="C17" s="39" t="s">
        <v>859</v>
      </c>
      <c r="D17" s="39" t="s">
        <v>860</v>
      </c>
      <c r="E17" s="38" t="s">
        <v>861</v>
      </c>
    </row>
    <row r="18" spans="1:5" ht="35.1" customHeight="1" x14ac:dyDescent="0.45">
      <c r="A18" s="38" t="s">
        <v>862</v>
      </c>
      <c r="B18" s="39" t="s">
        <v>863</v>
      </c>
      <c r="C18" s="39" t="s">
        <v>864</v>
      </c>
      <c r="D18" s="39" t="s">
        <v>865</v>
      </c>
      <c r="E18" s="38" t="s">
        <v>866</v>
      </c>
    </row>
    <row r="19" spans="1:5" ht="46.25" customHeight="1" x14ac:dyDescent="0.45">
      <c r="A19" s="38" t="s">
        <v>867</v>
      </c>
      <c r="B19" s="39" t="s">
        <v>868</v>
      </c>
      <c r="C19" s="39" t="s">
        <v>869</v>
      </c>
      <c r="D19" s="39" t="s">
        <v>870</v>
      </c>
      <c r="E19" s="38" t="s">
        <v>871</v>
      </c>
    </row>
    <row r="20" spans="1:5" ht="46.25" customHeight="1" x14ac:dyDescent="0.45">
      <c r="A20" s="38" t="s">
        <v>872</v>
      </c>
      <c r="B20" s="39" t="s">
        <v>873</v>
      </c>
      <c r="C20" s="39" t="s">
        <v>301</v>
      </c>
      <c r="D20" s="39" t="s">
        <v>297</v>
      </c>
      <c r="E20" s="38" t="s">
        <v>874</v>
      </c>
    </row>
    <row r="21" spans="1:5" ht="35.1" customHeight="1" x14ac:dyDescent="0.45">
      <c r="A21" s="38" t="s">
        <v>840</v>
      </c>
      <c r="B21" s="39">
        <v>2800</v>
      </c>
      <c r="C21" s="39">
        <v>4800</v>
      </c>
      <c r="D21" s="39">
        <v>5400</v>
      </c>
      <c r="E21" s="38" t="s">
        <v>875</v>
      </c>
    </row>
    <row r="22" spans="1:5" ht="15" customHeight="1" x14ac:dyDescent="0.45">
      <c r="A22" s="38" t="s">
        <v>841</v>
      </c>
      <c r="B22" s="39" t="s">
        <v>876</v>
      </c>
      <c r="C22" s="39" t="s">
        <v>877</v>
      </c>
      <c r="D22" s="39" t="s">
        <v>878</v>
      </c>
      <c r="E22" s="38"/>
    </row>
    <row r="24" spans="1:5" ht="15" customHeight="1" x14ac:dyDescent="0.45">
      <c r="A24" s="148" t="s">
        <v>879</v>
      </c>
      <c r="B24" s="139"/>
      <c r="C24" s="139"/>
      <c r="D24" s="139"/>
      <c r="E24" s="139"/>
    </row>
    <row r="25" spans="1:5" ht="15" customHeight="1" x14ac:dyDescent="0.45">
      <c r="A25" s="37" t="s">
        <v>376</v>
      </c>
      <c r="B25" s="37" t="s">
        <v>880</v>
      </c>
      <c r="C25" s="37" t="s">
        <v>628</v>
      </c>
      <c r="D25" s="37" t="s">
        <v>881</v>
      </c>
      <c r="E25" s="37" t="s">
        <v>377</v>
      </c>
    </row>
    <row r="26" spans="1:5" ht="39.75" customHeight="1" x14ac:dyDescent="0.45">
      <c r="A26" s="48" t="s">
        <v>882</v>
      </c>
      <c r="B26" s="62">
        <v>4</v>
      </c>
      <c r="C26" s="62" t="s">
        <v>883</v>
      </c>
      <c r="D26" s="48" t="s">
        <v>884</v>
      </c>
      <c r="E26" s="48" t="s">
        <v>885</v>
      </c>
    </row>
    <row r="27" spans="1:5" ht="39.75" customHeight="1" x14ac:dyDescent="0.45">
      <c r="A27" s="48" t="s">
        <v>886</v>
      </c>
      <c r="B27" s="62">
        <v>5</v>
      </c>
      <c r="C27" s="62" t="s">
        <v>887</v>
      </c>
      <c r="D27" s="48" t="s">
        <v>888</v>
      </c>
      <c r="E27" s="48" t="s">
        <v>889</v>
      </c>
    </row>
    <row r="28" spans="1:5" ht="39.75" customHeight="1" x14ac:dyDescent="0.45">
      <c r="A28" s="48" t="s">
        <v>890</v>
      </c>
      <c r="B28" s="62">
        <v>3</v>
      </c>
      <c r="C28" s="62" t="s">
        <v>891</v>
      </c>
      <c r="D28" s="48" t="s">
        <v>892</v>
      </c>
      <c r="E28" s="48" t="s">
        <v>893</v>
      </c>
    </row>
    <row r="29" spans="1:5" ht="39.75" customHeight="1" x14ac:dyDescent="0.45">
      <c r="A29" s="48" t="s">
        <v>894</v>
      </c>
      <c r="B29" s="62">
        <v>3</v>
      </c>
      <c r="C29" s="62" t="s">
        <v>297</v>
      </c>
      <c r="D29" s="48" t="s">
        <v>895</v>
      </c>
      <c r="E29" s="48" t="s">
        <v>896</v>
      </c>
    </row>
    <row r="30" spans="1:5" ht="39.75" customHeight="1" x14ac:dyDescent="0.45">
      <c r="A30" s="48" t="s">
        <v>897</v>
      </c>
      <c r="B30" s="62">
        <v>2</v>
      </c>
      <c r="C30" s="62" t="s">
        <v>301</v>
      </c>
      <c r="D30" s="48" t="s">
        <v>898</v>
      </c>
      <c r="E30" s="48" t="s">
        <v>899</v>
      </c>
    </row>
    <row r="31" spans="1:5" ht="39.75" customHeight="1" x14ac:dyDescent="0.45">
      <c r="A31" s="48" t="s">
        <v>900</v>
      </c>
      <c r="B31" s="62">
        <v>3</v>
      </c>
      <c r="C31" s="62" t="s">
        <v>887</v>
      </c>
      <c r="D31" s="48" t="s">
        <v>901</v>
      </c>
      <c r="E31" s="48" t="s">
        <v>902</v>
      </c>
    </row>
    <row r="32" spans="1:5" ht="39.75" customHeight="1" x14ac:dyDescent="0.45">
      <c r="A32" s="48" t="s">
        <v>903</v>
      </c>
      <c r="B32" s="62">
        <v>3</v>
      </c>
      <c r="C32" s="62" t="s">
        <v>301</v>
      </c>
      <c r="D32" s="48" t="s">
        <v>904</v>
      </c>
      <c r="E32" s="48" t="s">
        <v>905</v>
      </c>
    </row>
    <row r="33" spans="1:5" ht="39.75" customHeight="1" x14ac:dyDescent="0.45">
      <c r="A33" s="48" t="s">
        <v>906</v>
      </c>
      <c r="B33" s="62">
        <v>2</v>
      </c>
      <c r="C33" s="62" t="s">
        <v>883</v>
      </c>
      <c r="D33" s="48" t="s">
        <v>907</v>
      </c>
      <c r="E33" s="48" t="s">
        <v>908</v>
      </c>
    </row>
    <row r="34" spans="1:5" ht="39.75" customHeight="1" x14ac:dyDescent="0.45">
      <c r="A34" s="48" t="s">
        <v>909</v>
      </c>
      <c r="B34" s="62">
        <v>3</v>
      </c>
      <c r="C34" s="62" t="s">
        <v>887</v>
      </c>
      <c r="D34" s="48" t="s">
        <v>910</v>
      </c>
      <c r="E34" s="48" t="s">
        <v>911</v>
      </c>
    </row>
    <row r="36" spans="1:5" ht="17.350000000000001" customHeight="1" x14ac:dyDescent="0.5">
      <c r="A36" s="156" t="s">
        <v>912</v>
      </c>
      <c r="B36" s="139"/>
      <c r="C36" s="139"/>
      <c r="D36" s="139"/>
      <c r="E36" s="139"/>
    </row>
    <row r="37" spans="1:5" ht="17.350000000000001" customHeight="1" x14ac:dyDescent="0.5">
      <c r="A37" s="63" t="s">
        <v>913</v>
      </c>
      <c r="B37" s="159" t="s">
        <v>914</v>
      </c>
      <c r="C37" s="146"/>
      <c r="D37" s="146"/>
      <c r="E37" s="146"/>
    </row>
    <row r="38" spans="1:5" ht="15" customHeight="1" x14ac:dyDescent="0.45">
      <c r="A38" s="63" t="s">
        <v>915</v>
      </c>
      <c r="B38" s="158" t="s">
        <v>916</v>
      </c>
      <c r="C38" s="146"/>
      <c r="D38" s="146"/>
      <c r="E38" s="146"/>
    </row>
    <row r="39" spans="1:5" ht="15" customHeight="1" x14ac:dyDescent="0.45">
      <c r="A39" s="63" t="s">
        <v>917</v>
      </c>
      <c r="B39" s="158" t="s">
        <v>918</v>
      </c>
      <c r="C39" s="146"/>
      <c r="D39" s="146"/>
      <c r="E39" s="146"/>
    </row>
    <row r="40" spans="1:5" ht="15" customHeight="1" x14ac:dyDescent="0.45">
      <c r="A40" s="63" t="s">
        <v>919</v>
      </c>
      <c r="B40" s="155" t="s">
        <v>920</v>
      </c>
      <c r="C40" s="146"/>
      <c r="D40" s="146"/>
      <c r="E40" s="146"/>
    </row>
    <row r="41" spans="1:5" ht="15" customHeight="1" x14ac:dyDescent="0.45">
      <c r="A41" s="63" t="s">
        <v>921</v>
      </c>
      <c r="B41" s="158" t="s">
        <v>922</v>
      </c>
      <c r="C41" s="146"/>
      <c r="D41" s="146"/>
      <c r="E41" s="146"/>
    </row>
    <row r="42" spans="1:5" ht="15" customHeight="1" x14ac:dyDescent="0.45">
      <c r="A42" s="63" t="s">
        <v>923</v>
      </c>
      <c r="B42" s="158" t="s">
        <v>924</v>
      </c>
      <c r="C42" s="146"/>
      <c r="D42" s="146"/>
      <c r="E42" s="146"/>
    </row>
    <row r="43" spans="1:5" ht="15" customHeight="1" x14ac:dyDescent="0.45">
      <c r="A43" s="63" t="s">
        <v>925</v>
      </c>
      <c r="B43" s="157" t="s">
        <v>926</v>
      </c>
      <c r="C43" s="146"/>
      <c r="D43" s="146"/>
      <c r="E43" s="146"/>
    </row>
    <row r="44" spans="1:5" ht="15" customHeight="1" x14ac:dyDescent="0.45">
      <c r="A44" s="63" t="s">
        <v>927</v>
      </c>
      <c r="B44" s="157" t="s">
        <v>928</v>
      </c>
      <c r="C44" s="146"/>
      <c r="D44" s="146"/>
      <c r="E44" s="146"/>
    </row>
    <row r="45" spans="1:5" ht="15" customHeight="1" x14ac:dyDescent="0.45">
      <c r="A45" s="63" t="s">
        <v>929</v>
      </c>
      <c r="B45" s="157" t="s">
        <v>930</v>
      </c>
      <c r="C45" s="146"/>
      <c r="D45" s="146"/>
      <c r="E45" s="146"/>
    </row>
    <row r="46" spans="1:5" ht="15" customHeight="1" x14ac:dyDescent="0.45">
      <c r="A46" s="63" t="s">
        <v>931</v>
      </c>
      <c r="B46" s="157" t="s">
        <v>932</v>
      </c>
      <c r="C46" s="146"/>
      <c r="D46" s="146"/>
      <c r="E46" s="146"/>
    </row>
    <row r="48" spans="1:5" ht="15" customHeight="1" x14ac:dyDescent="0.45">
      <c r="A48" s="148" t="s">
        <v>933</v>
      </c>
      <c r="B48" s="139"/>
      <c r="C48" s="139"/>
      <c r="D48" s="139"/>
      <c r="E48" s="139"/>
    </row>
    <row r="49" spans="1:5" ht="30" customHeight="1" x14ac:dyDescent="0.45">
      <c r="A49" s="145" t="s">
        <v>934</v>
      </c>
      <c r="B49" s="146"/>
      <c r="C49" s="146"/>
      <c r="D49" s="146"/>
      <c r="E49" s="146"/>
    </row>
    <row r="50" spans="1:5" ht="30" customHeight="1" x14ac:dyDescent="0.45">
      <c r="A50" s="145" t="s">
        <v>935</v>
      </c>
      <c r="B50" s="146"/>
      <c r="C50" s="146"/>
      <c r="D50" s="146"/>
      <c r="E50" s="146"/>
    </row>
    <row r="51" spans="1:5" ht="30" customHeight="1" x14ac:dyDescent="0.45">
      <c r="A51" s="145" t="s">
        <v>936</v>
      </c>
      <c r="B51" s="146"/>
      <c r="C51" s="146"/>
      <c r="D51" s="146"/>
      <c r="E51" s="146"/>
    </row>
    <row r="52" spans="1:5" ht="30" customHeight="1" x14ac:dyDescent="0.45">
      <c r="A52" s="145" t="s">
        <v>937</v>
      </c>
      <c r="B52" s="146"/>
      <c r="C52" s="146"/>
      <c r="D52" s="146"/>
      <c r="E52" s="146"/>
    </row>
    <row r="53" spans="1:5" ht="30" customHeight="1" x14ac:dyDescent="0.45">
      <c r="A53" s="145" t="s">
        <v>938</v>
      </c>
      <c r="B53" s="146"/>
      <c r="C53" s="146"/>
      <c r="D53" s="146"/>
      <c r="E53" s="146"/>
    </row>
  </sheetData>
  <mergeCells count="21">
    <mergeCell ref="A53:E53"/>
    <mergeCell ref="A52:E52"/>
    <mergeCell ref="B38:E38"/>
    <mergeCell ref="B44:E44"/>
    <mergeCell ref="B37:E37"/>
    <mergeCell ref="A1:E1"/>
    <mergeCell ref="A36:E36"/>
    <mergeCell ref="B45:E45"/>
    <mergeCell ref="B41:E41"/>
    <mergeCell ref="B46:E46"/>
    <mergeCell ref="A3:E3"/>
    <mergeCell ref="A12:E12"/>
    <mergeCell ref="B43:E43"/>
    <mergeCell ref="B39:E39"/>
    <mergeCell ref="B42:E42"/>
    <mergeCell ref="B40:E40"/>
    <mergeCell ref="A48:E48"/>
    <mergeCell ref="A24:E24"/>
    <mergeCell ref="A49:E49"/>
    <mergeCell ref="A51:E51"/>
    <mergeCell ref="A50:E50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29"/>
  <sheetViews>
    <sheetView workbookViewId="0">
      <selection sqref="A1:H1"/>
    </sheetView>
  </sheetViews>
  <sheetFormatPr defaultRowHeight="14.25" x14ac:dyDescent="0.45"/>
  <cols>
    <col min="1" max="1" width="28" customWidth="1"/>
    <col min="2" max="2" width="16" customWidth="1"/>
  </cols>
  <sheetData>
    <row r="1" spans="1:8" ht="17.350000000000001" customHeight="1" x14ac:dyDescent="0.5">
      <c r="A1" s="147" t="s">
        <v>939</v>
      </c>
      <c r="B1" s="139"/>
      <c r="C1" s="139"/>
      <c r="D1" s="139"/>
      <c r="E1" s="139"/>
      <c r="F1" s="139"/>
      <c r="G1" s="139"/>
      <c r="H1" s="139"/>
    </row>
    <row r="3" spans="1:8" ht="15" customHeight="1" x14ac:dyDescent="0.45">
      <c r="A3" s="148" t="s">
        <v>940</v>
      </c>
      <c r="B3" s="139"/>
      <c r="C3" s="139"/>
      <c r="D3" s="139"/>
      <c r="E3" s="139"/>
      <c r="F3" s="139"/>
      <c r="G3" s="139"/>
      <c r="H3" s="139"/>
    </row>
    <row r="4" spans="1:8" ht="15" customHeight="1" x14ac:dyDescent="0.45">
      <c r="A4" s="37" t="s">
        <v>2</v>
      </c>
      <c r="B4" s="37" t="s">
        <v>941</v>
      </c>
      <c r="C4" s="37" t="s">
        <v>942</v>
      </c>
      <c r="D4" s="37" t="s">
        <v>943</v>
      </c>
      <c r="E4" s="37" t="s">
        <v>944</v>
      </c>
      <c r="F4" s="37" t="s">
        <v>945</v>
      </c>
      <c r="G4" s="37" t="s">
        <v>946</v>
      </c>
      <c r="H4" s="37" t="s">
        <v>439</v>
      </c>
    </row>
    <row r="5" spans="1:8" ht="15" customHeight="1" x14ac:dyDescent="0.45">
      <c r="A5" s="40" t="s">
        <v>947</v>
      </c>
      <c r="B5" s="64" t="s">
        <v>948</v>
      </c>
      <c r="C5" s="65" t="s">
        <v>949</v>
      </c>
      <c r="D5" s="65" t="s">
        <v>950</v>
      </c>
      <c r="E5" s="65" t="s">
        <v>951</v>
      </c>
      <c r="F5" s="65" t="s">
        <v>952</v>
      </c>
      <c r="G5" s="65" t="s">
        <v>953</v>
      </c>
      <c r="H5" s="65"/>
    </row>
    <row r="6" spans="1:8" ht="15" customHeight="1" x14ac:dyDescent="0.45">
      <c r="A6" s="40" t="s">
        <v>954</v>
      </c>
      <c r="B6" s="66">
        <v>0.113</v>
      </c>
      <c r="C6" s="67">
        <v>0.35</v>
      </c>
      <c r="D6" s="67">
        <v>0.05</v>
      </c>
      <c r="E6" s="67">
        <v>0.1</v>
      </c>
      <c r="F6" s="67">
        <v>0.08</v>
      </c>
      <c r="G6" s="67">
        <v>0.02</v>
      </c>
      <c r="H6" s="68">
        <f t="shared" ref="H6:H14" si="0">AVERAGE(C6:G6)</f>
        <v>0.12</v>
      </c>
    </row>
    <row r="7" spans="1:8" ht="15" customHeight="1" x14ac:dyDescent="0.45">
      <c r="A7" s="40" t="s">
        <v>356</v>
      </c>
      <c r="B7" s="66">
        <v>0.58199999999999996</v>
      </c>
      <c r="C7" s="67">
        <v>0.56999999999999995</v>
      </c>
      <c r="D7" s="67">
        <v>0.48</v>
      </c>
      <c r="E7" s="67">
        <v>0.5</v>
      </c>
      <c r="F7" s="67">
        <v>0.42</v>
      </c>
      <c r="G7" s="67">
        <v>0.73</v>
      </c>
      <c r="H7" s="68">
        <f t="shared" si="0"/>
        <v>0.53999999999999992</v>
      </c>
    </row>
    <row r="8" spans="1:8" ht="15" customHeight="1" x14ac:dyDescent="0.45">
      <c r="A8" s="40" t="s">
        <v>176</v>
      </c>
      <c r="B8" s="66">
        <v>0.38800000000000001</v>
      </c>
      <c r="C8" s="67">
        <v>0.33</v>
      </c>
      <c r="D8" s="67">
        <v>0.12</v>
      </c>
      <c r="E8" s="67">
        <v>0.22</v>
      </c>
      <c r="F8" s="67">
        <v>0.1</v>
      </c>
      <c r="G8" s="67">
        <v>0.2</v>
      </c>
      <c r="H8" s="68">
        <f t="shared" si="0"/>
        <v>0.19400000000000001</v>
      </c>
    </row>
    <row r="9" spans="1:8" ht="15" customHeight="1" x14ac:dyDescent="0.45">
      <c r="A9" s="40" t="s">
        <v>955</v>
      </c>
      <c r="B9" s="66">
        <v>0.28599999999999998</v>
      </c>
      <c r="C9" s="67">
        <v>0.28000000000000003</v>
      </c>
      <c r="D9" s="67">
        <v>0.08</v>
      </c>
      <c r="E9" s="67">
        <v>0.15</v>
      </c>
      <c r="F9" s="67">
        <v>0.06</v>
      </c>
      <c r="G9" s="67">
        <v>0.14000000000000001</v>
      </c>
      <c r="H9" s="68">
        <f t="shared" si="0"/>
        <v>0.14200000000000002</v>
      </c>
    </row>
    <row r="10" spans="1:8" ht="15" customHeight="1" x14ac:dyDescent="0.45">
      <c r="A10" s="40" t="s">
        <v>228</v>
      </c>
      <c r="B10" s="66">
        <v>0.248</v>
      </c>
      <c r="C10" s="67">
        <v>0.18</v>
      </c>
      <c r="D10" s="67">
        <v>0.06</v>
      </c>
      <c r="E10" s="67">
        <v>0.2</v>
      </c>
      <c r="F10" s="67">
        <v>0.08</v>
      </c>
      <c r="G10" s="67">
        <v>0.35</v>
      </c>
      <c r="H10" s="68">
        <f t="shared" si="0"/>
        <v>0.17399999999999999</v>
      </c>
    </row>
    <row r="11" spans="1:8" ht="15" customHeight="1" x14ac:dyDescent="0.45">
      <c r="A11" s="40" t="s">
        <v>268</v>
      </c>
      <c r="B11" s="69">
        <v>18.8</v>
      </c>
      <c r="C11" s="70">
        <v>14</v>
      </c>
      <c r="D11" s="70">
        <v>8.5</v>
      </c>
      <c r="E11" s="70">
        <v>15</v>
      </c>
      <c r="F11" s="70">
        <v>12</v>
      </c>
      <c r="G11" s="70">
        <v>16</v>
      </c>
      <c r="H11" s="71">
        <f t="shared" si="0"/>
        <v>13.1</v>
      </c>
    </row>
    <row r="12" spans="1:8" ht="15" customHeight="1" x14ac:dyDescent="0.45">
      <c r="A12" s="40" t="s">
        <v>263</v>
      </c>
      <c r="B12" s="69">
        <v>25.1</v>
      </c>
      <c r="C12" s="70">
        <v>20</v>
      </c>
      <c r="D12" s="70">
        <v>25</v>
      </c>
      <c r="E12" s="70">
        <v>28</v>
      </c>
      <c r="F12" s="70">
        <v>22</v>
      </c>
      <c r="G12" s="70">
        <v>30</v>
      </c>
      <c r="H12" s="71">
        <f t="shared" si="0"/>
        <v>25</v>
      </c>
    </row>
    <row r="13" spans="1:8" ht="15" customHeight="1" x14ac:dyDescent="0.45">
      <c r="A13" s="40" t="s">
        <v>956</v>
      </c>
      <c r="B13" s="69">
        <v>8.6999999999999993</v>
      </c>
      <c r="C13" s="70">
        <v>6</v>
      </c>
      <c r="D13" s="70">
        <v>1.5</v>
      </c>
      <c r="E13" s="70">
        <v>4</v>
      </c>
      <c r="F13" s="70">
        <v>1.5</v>
      </c>
      <c r="G13" s="70">
        <v>5.5</v>
      </c>
      <c r="H13" s="71">
        <f t="shared" si="0"/>
        <v>3.7</v>
      </c>
    </row>
    <row r="14" spans="1:8" ht="15" customHeight="1" x14ac:dyDescent="0.45">
      <c r="A14" s="40" t="s">
        <v>265</v>
      </c>
      <c r="B14" s="66">
        <v>1.0999999999999999E-2</v>
      </c>
      <c r="C14" s="67">
        <v>2.5000000000000001E-2</v>
      </c>
      <c r="D14" s="67">
        <v>1.4999999999999999E-2</v>
      </c>
      <c r="E14" s="67">
        <v>0.01</v>
      </c>
      <c r="F14" s="67">
        <v>0.02</v>
      </c>
      <c r="G14" s="67">
        <v>5.0000000000000001E-3</v>
      </c>
      <c r="H14" s="68">
        <f t="shared" si="0"/>
        <v>1.5000000000000003E-2</v>
      </c>
    </row>
    <row r="15" spans="1:8" ht="15" customHeight="1" x14ac:dyDescent="0.45">
      <c r="A15" s="40" t="s">
        <v>957</v>
      </c>
      <c r="B15" s="64" t="s">
        <v>958</v>
      </c>
      <c r="C15" s="65" t="s">
        <v>959</v>
      </c>
      <c r="D15" s="65" t="s">
        <v>960</v>
      </c>
      <c r="E15" s="65" t="s">
        <v>961</v>
      </c>
      <c r="F15" s="65" t="s">
        <v>962</v>
      </c>
      <c r="G15" s="65" t="s">
        <v>963</v>
      </c>
      <c r="H15" s="65"/>
    </row>
    <row r="16" spans="1:8" ht="15" customHeight="1" x14ac:dyDescent="0.45">
      <c r="A16" s="40" t="s">
        <v>964</v>
      </c>
      <c r="B16" s="66">
        <v>0.155</v>
      </c>
      <c r="C16" s="67">
        <v>0.08</v>
      </c>
      <c r="D16" s="67">
        <v>0.05</v>
      </c>
      <c r="E16" s="67">
        <v>0.1</v>
      </c>
      <c r="F16" s="67">
        <v>0.06</v>
      </c>
      <c r="G16" s="67">
        <v>0.02</v>
      </c>
      <c r="H16" s="68">
        <f>AVERAGE(C16:G16)</f>
        <v>6.2000000000000013E-2</v>
      </c>
    </row>
    <row r="17" spans="1:8" ht="15" customHeight="1" x14ac:dyDescent="0.45">
      <c r="A17" s="40" t="s">
        <v>965</v>
      </c>
      <c r="B17" s="66">
        <v>0.28000000000000003</v>
      </c>
      <c r="C17" s="67">
        <v>0.1</v>
      </c>
      <c r="D17" s="67">
        <v>0.03</v>
      </c>
      <c r="E17" s="67">
        <v>0.15</v>
      </c>
      <c r="F17" s="67">
        <v>0.04</v>
      </c>
      <c r="G17" s="67">
        <v>0.08</v>
      </c>
      <c r="H17" s="68">
        <f>AVERAGE(C17:G17)</f>
        <v>0.08</v>
      </c>
    </row>
    <row r="18" spans="1:8" ht="15" customHeight="1" x14ac:dyDescent="0.45">
      <c r="A18" s="40" t="s">
        <v>385</v>
      </c>
      <c r="B18" s="72">
        <v>0.57999999999999996</v>
      </c>
      <c r="C18" s="73">
        <v>0.65</v>
      </c>
      <c r="D18" s="73">
        <v>0.9</v>
      </c>
      <c r="E18" s="73">
        <v>0.75</v>
      </c>
      <c r="F18" s="73">
        <v>0.8</v>
      </c>
      <c r="G18" s="73">
        <v>0.85</v>
      </c>
      <c r="H18" s="71">
        <f>AVERAGE(C18:G18)</f>
        <v>0.78999999999999992</v>
      </c>
    </row>
    <row r="19" spans="1:8" ht="15" customHeight="1" x14ac:dyDescent="0.45">
      <c r="A19" s="40" t="s">
        <v>966</v>
      </c>
      <c r="B19" s="66">
        <v>0.93200000000000005</v>
      </c>
      <c r="C19" s="67">
        <v>0.35</v>
      </c>
      <c r="D19" s="67">
        <v>0.65</v>
      </c>
      <c r="E19" s="67">
        <v>0.7</v>
      </c>
      <c r="F19" s="67">
        <v>0.5</v>
      </c>
      <c r="G19" s="67">
        <v>0.9</v>
      </c>
      <c r="H19" s="68">
        <f>AVERAGE(C19:G19)</f>
        <v>0.62</v>
      </c>
    </row>
    <row r="20" spans="1:8" ht="15" customHeight="1" x14ac:dyDescent="0.45">
      <c r="A20" s="40" t="s">
        <v>967</v>
      </c>
      <c r="B20" s="66">
        <v>0.68300000000000005</v>
      </c>
      <c r="C20" s="67">
        <v>0.4</v>
      </c>
      <c r="D20" s="67">
        <v>0.3</v>
      </c>
      <c r="E20" s="67">
        <v>0.35</v>
      </c>
      <c r="F20" s="67">
        <v>0.3</v>
      </c>
      <c r="G20" s="67">
        <v>0.6</v>
      </c>
      <c r="H20" s="68">
        <f>AVERAGE(C20:G20)</f>
        <v>0.38999999999999996</v>
      </c>
    </row>
    <row r="22" spans="1:8" ht="15" customHeight="1" x14ac:dyDescent="0.45">
      <c r="A22" s="148" t="s">
        <v>968</v>
      </c>
      <c r="B22" s="139"/>
      <c r="C22" s="139"/>
      <c r="D22" s="139"/>
      <c r="E22" s="139"/>
      <c r="F22" s="139"/>
      <c r="G22" s="139"/>
      <c r="H22" s="139"/>
    </row>
    <row r="23" spans="1:8" ht="30" customHeight="1" x14ac:dyDescent="0.45">
      <c r="A23" s="74" t="s">
        <v>969</v>
      </c>
      <c r="B23" s="145" t="s">
        <v>970</v>
      </c>
      <c r="C23" s="146"/>
      <c r="D23" s="146"/>
      <c r="E23" s="146"/>
      <c r="F23" s="146"/>
      <c r="G23" s="146"/>
      <c r="H23" s="146"/>
    </row>
    <row r="24" spans="1:8" ht="30" customHeight="1" x14ac:dyDescent="0.45">
      <c r="A24" s="74" t="s">
        <v>971</v>
      </c>
      <c r="B24" s="145" t="s">
        <v>972</v>
      </c>
      <c r="C24" s="146"/>
      <c r="D24" s="146"/>
      <c r="E24" s="146"/>
      <c r="F24" s="146"/>
      <c r="G24" s="146"/>
      <c r="H24" s="146"/>
    </row>
    <row r="25" spans="1:8" ht="30" customHeight="1" x14ac:dyDescent="0.45">
      <c r="A25" s="74" t="s">
        <v>973</v>
      </c>
      <c r="B25" s="145" t="s">
        <v>974</v>
      </c>
      <c r="C25" s="146"/>
      <c r="D25" s="146"/>
      <c r="E25" s="146"/>
      <c r="F25" s="146"/>
      <c r="G25" s="146"/>
      <c r="H25" s="146"/>
    </row>
    <row r="26" spans="1:8" ht="30" customHeight="1" x14ac:dyDescent="0.45">
      <c r="A26" s="74" t="s">
        <v>975</v>
      </c>
      <c r="B26" s="145" t="s">
        <v>976</v>
      </c>
      <c r="C26" s="146"/>
      <c r="D26" s="146"/>
      <c r="E26" s="146"/>
      <c r="F26" s="146"/>
      <c r="G26" s="146"/>
      <c r="H26" s="146"/>
    </row>
    <row r="27" spans="1:8" ht="30" customHeight="1" x14ac:dyDescent="0.45">
      <c r="A27" s="74" t="s">
        <v>977</v>
      </c>
      <c r="B27" s="145" t="s">
        <v>978</v>
      </c>
      <c r="C27" s="146"/>
      <c r="D27" s="146"/>
      <c r="E27" s="146"/>
      <c r="F27" s="146"/>
      <c r="G27" s="146"/>
      <c r="H27" s="146"/>
    </row>
    <row r="28" spans="1:8" ht="30" customHeight="1" x14ac:dyDescent="0.45">
      <c r="A28" s="74" t="s">
        <v>979</v>
      </c>
      <c r="B28" s="145" t="s">
        <v>980</v>
      </c>
      <c r="C28" s="146"/>
      <c r="D28" s="146"/>
      <c r="E28" s="146"/>
      <c r="F28" s="146"/>
      <c r="G28" s="146"/>
      <c r="H28" s="146"/>
    </row>
    <row r="29" spans="1:8" ht="30" customHeight="1" x14ac:dyDescent="0.45">
      <c r="A29" s="74" t="s">
        <v>981</v>
      </c>
      <c r="B29" s="145" t="s">
        <v>982</v>
      </c>
      <c r="C29" s="146"/>
      <c r="D29" s="146"/>
      <c r="E29" s="146"/>
      <c r="F29" s="146"/>
      <c r="G29" s="146"/>
      <c r="H29" s="146"/>
    </row>
  </sheetData>
  <mergeCells count="10">
    <mergeCell ref="B29:H29"/>
    <mergeCell ref="B25:H25"/>
    <mergeCell ref="A1:H1"/>
    <mergeCell ref="A22:H22"/>
    <mergeCell ref="B23:H23"/>
    <mergeCell ref="A3:H3"/>
    <mergeCell ref="B28:H28"/>
    <mergeCell ref="B26:H26"/>
    <mergeCell ref="B27:H27"/>
    <mergeCell ref="B24:H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Assumptions</vt:lpstr>
      <vt:lpstr>Income Statement</vt:lpstr>
      <vt:lpstr>Explanations</vt:lpstr>
      <vt:lpstr>Balance Sheet</vt:lpstr>
      <vt:lpstr>Cash Flow</vt:lpstr>
      <vt:lpstr>Valuation</vt:lpstr>
      <vt:lpstr>Valuation Methodology</vt:lpstr>
      <vt:lpstr>Sensitivity</vt:lpstr>
      <vt:lpstr>Unit Sales</vt:lpstr>
      <vt:lpstr>Business &amp; Industry</vt:lpstr>
      <vt:lpstr>Investment Thesis</vt:lpstr>
      <vt:lpstr>Market Setup</vt:lpstr>
      <vt:lpstr>Risk-Reward</vt:lpstr>
      <vt:lpstr>Competitor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Dhathathreyan Natarajan</cp:lastModifiedBy>
  <dcterms:created xsi:type="dcterms:W3CDTF">2026-02-06T04:01:08Z</dcterms:created>
  <dcterms:modified xsi:type="dcterms:W3CDTF">2026-02-06T09:41:38Z</dcterms:modified>
</cp:coreProperties>
</file>